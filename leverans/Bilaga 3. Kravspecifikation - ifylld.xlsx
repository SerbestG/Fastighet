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3" autoFilterDateGrouping="1"/>
  </bookViews>
  <sheets>
    <sheet name="Instruktion" sheetId="1" state="visible" r:id="rId1"/>
    <sheet name="A. Icke-funktionella krav" sheetId="2" state="visible" r:id="rId2"/>
    <sheet name="B. Funktionella krav" sheetId="3" state="visible" r:id="rId3"/>
    <sheet name="C. Informationssäkerhetskrav" sheetId="4" state="visible" r:id="rId4"/>
  </sheets>
  <definedNames/>
  <calcPr calcId="191028" fullCalcOnLoad="1"/>
</workbook>
</file>

<file path=xl/styles.xml><?xml version="1.0" encoding="utf-8"?>
<styleSheet xmlns="http://schemas.openxmlformats.org/spreadsheetml/2006/main">
  <numFmts count="1">
    <numFmt numFmtId="164" formatCode="#,##0.00\ &quot;kr&quot;"/>
  </numFmts>
  <fonts count="18">
    <font>
      <name val="Calibri"/>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Aptos"/>
      <family val="2"/>
      <color theme="1"/>
      <sz val="10"/>
    </font>
    <font>
      <name val="Aptos"/>
      <family val="2"/>
      <i val="1"/>
      <color theme="1"/>
      <sz val="10"/>
    </font>
    <font>
      <name val="Calibri"/>
      <family val="2"/>
      <b val="1"/>
      <color theme="1"/>
      <sz val="11"/>
      <scheme val="minor"/>
    </font>
    <font>
      <name val="Calibri"/>
      <family val="2"/>
      <sz val="8"/>
      <scheme val="minor"/>
    </font>
    <font>
      <name val="Calibri"/>
      <family val="2"/>
      <sz val="10"/>
      <scheme val="minor"/>
    </font>
    <font>
      <name val="Calibri"/>
      <family val="2"/>
      <sz val="10"/>
    </font>
    <font>
      <name val="Calibri"/>
      <color rgb="FF000000"/>
      <sz val="10"/>
      <scheme val="minor"/>
    </font>
    <font>
      <name val="Calibri"/>
      <b val="1"/>
      <color rgb="FF000000"/>
      <sz val="10"/>
      <scheme val="minor"/>
    </font>
    <font>
      <name val="Aptos Narrow"/>
      <charset val="1"/>
      <color rgb="FF242424"/>
      <sz val="11"/>
    </font>
    <font>
      <name val="Calibri"/>
      <family val="2"/>
      <color rgb="FF000000"/>
      <sz val="10"/>
    </font>
    <font>
      <name val="Calibri"/>
      <family val="2"/>
      <color rgb="FF242424"/>
      <sz val="10"/>
      <scheme val="minor"/>
    </font>
    <font>
      <name val="Calibri"/>
      <family val="2"/>
      <sz val="11"/>
    </font>
    <font>
      <name val="Calibri"/>
      <sz val="11"/>
      <scheme val="minor"/>
    </font>
    <font>
      <name val="Calibri"/>
      <family val="2"/>
      <b val="1"/>
      <color theme="1"/>
      <sz val="14"/>
      <scheme val="minor"/>
    </font>
  </fonts>
  <fills count="7">
    <fill>
      <patternFill/>
    </fill>
    <fill>
      <patternFill patternType="gray125"/>
    </fill>
    <fill>
      <patternFill patternType="solid">
        <fgColor theme="2" tint="-0.8999908444471572"/>
        <bgColor indexed="64"/>
      </patternFill>
    </fill>
    <fill>
      <patternFill patternType="solid">
        <fgColor rgb="FF00B0F0"/>
        <bgColor indexed="64"/>
      </patternFill>
    </fill>
    <fill>
      <patternFill patternType="solid">
        <fgColor theme="1" tint="0.1499984740745262"/>
        <bgColor indexed="64"/>
      </patternFill>
    </fill>
    <fill>
      <patternFill patternType="solid">
        <fgColor rgb="FF64DEEF"/>
        <bgColor indexed="64"/>
      </patternFill>
    </fill>
    <fill>
      <patternFill patternType="solid">
        <fgColor theme="5" tint="0.5999938962981048"/>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thin">
        <color rgb="FF000000"/>
      </bottom>
      <diagonal/>
    </border>
  </borders>
  <cellStyleXfs count="1">
    <xf numFmtId="0" fontId="0" fillId="0" borderId="0"/>
  </cellStyleXfs>
  <cellXfs count="93">
    <xf numFmtId="0" fontId="0" fillId="0" borderId="0" pivotButton="0" quotePrefix="0" xfId="0"/>
    <xf numFmtId="0" fontId="1" fillId="0" borderId="0" pivotButton="0" quotePrefix="0" xfId="0"/>
    <xf numFmtId="0" fontId="1" fillId="0" borderId="0" applyAlignment="1" pivotButton="0" quotePrefix="0" xfId="0">
      <alignment horizontal="center" vertical="center"/>
    </xf>
    <xf numFmtId="0" fontId="3" fillId="0" borderId="0" applyAlignment="1" pivotButton="0" quotePrefix="0" xfId="0">
      <alignment horizontal="center" vertical="center"/>
    </xf>
    <xf numFmtId="0" fontId="2" fillId="2" borderId="1" applyAlignment="1" pivotButton="0" quotePrefix="0" xfId="0">
      <alignment horizontal="center" vertical="center"/>
    </xf>
    <xf numFmtId="0" fontId="2" fillId="2" borderId="1" applyAlignment="1" pivotButton="0" quotePrefix="0" xfId="0">
      <alignment horizontal="center"/>
    </xf>
    <xf numFmtId="0" fontId="1" fillId="0" borderId="1" applyAlignment="1" pivotButton="0" quotePrefix="0" xfId="0">
      <alignment horizontal="center" vertical="center"/>
    </xf>
    <xf numFmtId="0" fontId="1" fillId="0" borderId="1" applyAlignment="1" pivotButton="0" quotePrefix="0" xfId="0">
      <alignment vertical="top" wrapText="1"/>
    </xf>
    <xf numFmtId="0" fontId="1" fillId="0" borderId="1" applyAlignment="1" pivotButton="0" quotePrefix="0" xfId="0">
      <alignment wrapText="1"/>
    </xf>
    <xf numFmtId="0" fontId="1" fillId="0" borderId="5" applyAlignment="1" pivotButton="0" quotePrefix="0" xfId="0">
      <alignment horizontal="center" vertical="center"/>
    </xf>
    <xf numFmtId="0" fontId="2" fillId="2" borderId="5" applyAlignment="1" pivotButton="0" quotePrefix="0" xfId="0">
      <alignment horizontal="center" vertical="center"/>
    </xf>
    <xf numFmtId="0" fontId="3" fillId="0" borderId="2" applyAlignment="1" pivotButton="0" quotePrefix="0" xfId="0">
      <alignment horizontal="right"/>
    </xf>
    <xf numFmtId="0" fontId="3" fillId="0" borderId="7" applyAlignment="1" pivotButton="0" quotePrefix="0" xfId="0">
      <alignment horizontal="right"/>
    </xf>
    <xf numFmtId="0" fontId="0" fillId="0" borderId="0" applyAlignment="1" pivotButton="0" quotePrefix="0" xfId="0">
      <alignment horizontal="center"/>
    </xf>
    <xf numFmtId="0" fontId="6" fillId="0" borderId="0" pivotButton="0" quotePrefix="0" xfId="0"/>
    <xf numFmtId="0" fontId="1" fillId="3" borderId="1" applyAlignment="1" applyProtection="1" pivotButton="0" quotePrefix="0" xfId="0">
      <alignment horizontal="center" vertical="center"/>
      <protection locked="0" hidden="0"/>
    </xf>
    <xf numFmtId="0" fontId="2" fillId="4" borderId="2" applyAlignment="1" pivotButton="0" quotePrefix="0" xfId="0">
      <alignment horizontal="center" vertical="center"/>
    </xf>
    <xf numFmtId="0" fontId="2" fillId="4" borderId="3" applyAlignment="1" pivotButton="0" quotePrefix="0" xfId="0">
      <alignment horizontal="left" vertical="top"/>
    </xf>
    <xf numFmtId="0" fontId="2" fillId="4" borderId="3" applyAlignment="1" pivotButton="0" quotePrefix="0" xfId="0">
      <alignment horizontal="center" vertical="center"/>
    </xf>
    <xf numFmtId="0" fontId="2" fillId="4" borderId="3" applyAlignment="1" pivotButton="0" quotePrefix="0" xfId="0">
      <alignment horizontal="center"/>
    </xf>
    <xf numFmtId="0" fontId="2" fillId="2" borderId="1" applyAlignment="1" pivotButton="0" quotePrefix="0" xfId="0">
      <alignment horizontal="left" vertical="center"/>
    </xf>
    <xf numFmtId="0" fontId="1" fillId="0" borderId="4" applyAlignment="1" pivotButton="0" quotePrefix="0" xfId="0">
      <alignment horizontal="left" vertical="top"/>
    </xf>
    <xf numFmtId="0" fontId="1" fillId="0" borderId="8" applyAlignment="1" pivotButton="0" quotePrefix="0" xfId="0">
      <alignment horizontal="left" vertical="top"/>
    </xf>
    <xf numFmtId="0" fontId="6" fillId="0" borderId="0" applyAlignment="1" pivotButton="0" quotePrefix="0" xfId="0">
      <alignment horizontal="left"/>
    </xf>
    <xf numFmtId="0" fontId="0" fillId="0" borderId="4" applyAlignment="1" pivotButton="0" quotePrefix="0" xfId="0">
      <alignment horizontal="center"/>
    </xf>
    <xf numFmtId="0" fontId="0" fillId="0" borderId="6" applyAlignment="1" pivotButton="0" quotePrefix="0" xfId="0">
      <alignment horizontal="center"/>
    </xf>
    <xf numFmtId="0" fontId="0" fillId="0" borderId="8" applyAlignment="1" pivotButton="0" quotePrefix="0" xfId="0">
      <alignment horizontal="center"/>
    </xf>
    <xf numFmtId="0" fontId="6" fillId="0" borderId="2" applyAlignment="1" pivotButton="0" quotePrefix="0" xfId="0">
      <alignment horizontal="right"/>
    </xf>
    <xf numFmtId="0" fontId="6" fillId="0" borderId="5" applyAlignment="1" pivotButton="0" quotePrefix="0" xfId="0">
      <alignment horizontal="right"/>
    </xf>
    <xf numFmtId="0" fontId="6" fillId="0" borderId="7" applyAlignment="1" pivotButton="0" quotePrefix="0" xfId="0">
      <alignment horizontal="right"/>
    </xf>
    <xf numFmtId="0" fontId="8" fillId="0" borderId="1" applyAlignment="1" pivotButton="0" quotePrefix="0" xfId="0">
      <alignment horizontal="left" vertical="top" wrapText="1"/>
    </xf>
    <xf numFmtId="0" fontId="9" fillId="0" borderId="1" applyAlignment="1" pivotButton="0" quotePrefix="0" xfId="0">
      <alignment horizontal="left" vertical="top" wrapText="1"/>
    </xf>
    <xf numFmtId="0" fontId="1" fillId="0" borderId="1" applyAlignment="1" pivotButton="0" quotePrefix="0" xfId="0">
      <alignment vertical="center" wrapText="1"/>
    </xf>
    <xf numFmtId="0" fontId="0" fillId="0" borderId="0" applyAlignment="1" pivotButton="0" quotePrefix="0" xfId="0">
      <alignment horizontal="center" vertical="center"/>
    </xf>
    <xf numFmtId="0" fontId="3" fillId="0" borderId="2" applyAlignment="1" pivotButton="0" quotePrefix="0" xfId="0">
      <alignment horizontal="right" vertical="center"/>
    </xf>
    <xf numFmtId="0" fontId="3" fillId="0" borderId="7" applyAlignment="1" pivotButton="0" quotePrefix="0" xfId="0">
      <alignment horizontal="right" vertical="center"/>
    </xf>
    <xf numFmtId="0" fontId="0" fillId="0" borderId="5" applyAlignment="1" pivotButton="0" quotePrefix="0" xfId="0">
      <alignment horizontal="center" vertical="center"/>
    </xf>
    <xf numFmtId="0" fontId="10" fillId="0" borderId="1" applyAlignment="1" pivotButton="0" quotePrefix="0" xfId="0">
      <alignment horizontal="left" vertical="top" wrapText="1"/>
    </xf>
    <xf numFmtId="0" fontId="1" fillId="0" borderId="9" applyAlignment="1" pivotButton="0" quotePrefix="0" xfId="0">
      <alignment vertical="center" wrapText="1"/>
    </xf>
    <xf numFmtId="0" fontId="1" fillId="0" borderId="9" applyAlignment="1" pivotButton="0" quotePrefix="0" xfId="0">
      <alignment horizontal="center" vertical="center"/>
    </xf>
    <xf numFmtId="0" fontId="0" fillId="0" borderId="0" applyAlignment="1" pivotButton="0" quotePrefix="0" xfId="0">
      <alignment wrapText="1"/>
    </xf>
    <xf numFmtId="0" fontId="1" fillId="3" borderId="10" applyAlignment="1" applyProtection="1" pivotButton="0" quotePrefix="0" xfId="0">
      <alignment horizontal="center" vertical="center"/>
      <protection locked="0" hidden="0"/>
    </xf>
    <xf numFmtId="0" fontId="4" fillId="0" borderId="1" applyAlignment="1" pivotButton="0" quotePrefix="0" xfId="0">
      <alignment vertical="center" wrapText="1"/>
    </xf>
    <xf numFmtId="0" fontId="13" fillId="0" borderId="1" applyAlignment="1" pivotButton="0" quotePrefix="0" xfId="0">
      <alignment horizontal="left" wrapText="1"/>
    </xf>
    <xf numFmtId="0" fontId="14" fillId="0" borderId="1" applyAlignment="1" pivotButton="0" quotePrefix="0" xfId="0">
      <alignment horizontal="left" wrapText="1"/>
    </xf>
    <xf numFmtId="0" fontId="9" fillId="0" borderId="1" applyAlignment="1" pivotButton="0" quotePrefix="0" xfId="0">
      <alignment horizontal="left" wrapText="1"/>
    </xf>
    <xf numFmtId="0" fontId="2" fillId="2" borderId="2" applyAlignment="1" pivotButton="0" quotePrefix="0" xfId="0">
      <alignment horizontal="center" vertical="center"/>
    </xf>
    <xf numFmtId="0" fontId="2" fillId="2" borderId="3" applyAlignment="1" pivotButton="0" quotePrefix="0" xfId="0">
      <alignment horizontal="center" vertical="center"/>
    </xf>
    <xf numFmtId="0" fontId="2" fillId="2" borderId="3" applyAlignment="1" pivotButton="0" quotePrefix="0" xfId="0">
      <alignment horizontal="center"/>
    </xf>
    <xf numFmtId="0" fontId="1" fillId="0" borderId="7" applyAlignment="1" pivotButton="0" quotePrefix="0" xfId="0">
      <alignment horizontal="center" vertical="center"/>
    </xf>
    <xf numFmtId="0" fontId="1" fillId="0" borderId="14" applyAlignment="1" pivotButton="0" quotePrefix="0" xfId="0">
      <alignment wrapText="1"/>
    </xf>
    <xf numFmtId="0" fontId="1" fillId="0" borderId="14" applyAlignment="1" pivotButton="0" quotePrefix="0" xfId="0">
      <alignment horizontal="center" vertical="center"/>
    </xf>
    <xf numFmtId="0" fontId="1" fillId="3" borderId="14" applyAlignment="1" applyProtection="1" pivotButton="0" quotePrefix="0" xfId="0">
      <alignment horizontal="center" vertical="center"/>
      <protection locked="0" hidden="0"/>
    </xf>
    <xf numFmtId="0" fontId="3" fillId="0" borderId="2" applyAlignment="1" pivotButton="0" quotePrefix="0" xfId="0">
      <alignment horizontal="center"/>
    </xf>
    <xf numFmtId="0" fontId="3" fillId="0" borderId="7" applyAlignment="1" pivotButton="0" quotePrefix="0" xfId="0">
      <alignment horizontal="center"/>
    </xf>
    <xf numFmtId="0" fontId="16" fillId="0" borderId="1" applyAlignment="1" pivotButton="0" quotePrefix="0" xfId="0">
      <alignment wrapText="1"/>
    </xf>
    <xf numFmtId="0" fontId="2" fillId="2" borderId="3" applyAlignment="1" pivotButton="0" quotePrefix="0" xfId="0">
      <alignment horizontal="left" vertical="center"/>
    </xf>
    <xf numFmtId="0" fontId="2" fillId="2" borderId="4" applyAlignment="1" pivotButton="0" quotePrefix="0" xfId="0">
      <alignment horizontal="center" wrapText="1"/>
    </xf>
    <xf numFmtId="0" fontId="0" fillId="0" borderId="6" applyAlignment="1" applyProtection="1" pivotButton="0" quotePrefix="0" xfId="0">
      <alignment wrapText="1"/>
      <protection locked="0" hidden="0"/>
    </xf>
    <xf numFmtId="0" fontId="2" fillId="2" borderId="6" applyAlignment="1" pivotButton="0" quotePrefix="0" xfId="0">
      <alignment horizontal="center" wrapText="1"/>
    </xf>
    <xf numFmtId="0" fontId="16" fillId="0" borderId="14" applyAlignment="1" pivotButton="0" quotePrefix="0" xfId="0">
      <alignment wrapText="1"/>
    </xf>
    <xf numFmtId="0" fontId="15" fillId="0" borderId="5" applyAlignment="1" pivotButton="0" quotePrefix="0" xfId="0">
      <alignment horizontal="center" vertical="center" wrapText="1"/>
    </xf>
    <xf numFmtId="0" fontId="0" fillId="0" borderId="7" applyAlignment="1" pivotButton="0" quotePrefix="0" xfId="0">
      <alignment horizontal="center" vertical="center"/>
    </xf>
    <xf numFmtId="0" fontId="0" fillId="0" borderId="8" applyAlignment="1" applyProtection="1" pivotButton="0" quotePrefix="0" xfId="0">
      <alignment wrapText="1"/>
      <protection locked="0" hidden="0"/>
    </xf>
    <xf numFmtId="0" fontId="2" fillId="4" borderId="4" applyAlignment="1" pivotButton="0" quotePrefix="0" xfId="0">
      <alignment horizontal="center" wrapText="1"/>
    </xf>
    <xf numFmtId="0" fontId="0" fillId="0" borderId="11" applyAlignment="1" applyProtection="1" pivotButton="0" quotePrefix="0" xfId="0">
      <alignment wrapText="1"/>
      <protection locked="0" hidden="0"/>
    </xf>
    <xf numFmtId="0" fontId="0" fillId="0" borderId="13" applyAlignment="1" applyProtection="1" pivotButton="0" quotePrefix="0" xfId="0">
      <alignment wrapText="1"/>
      <protection locked="0" hidden="0"/>
    </xf>
    <xf numFmtId="0" fontId="12" fillId="0" borderId="12" applyAlignment="1" applyProtection="1" pivotButton="0" quotePrefix="0" xfId="0">
      <alignment wrapText="1"/>
      <protection locked="0" hidden="0"/>
    </xf>
    <xf numFmtId="0" fontId="1" fillId="0" borderId="0" applyAlignment="1" pivotButton="0" quotePrefix="0" xfId="0">
      <alignment wrapText="1"/>
    </xf>
    <xf numFmtId="0" fontId="1" fillId="0" borderId="4" applyAlignment="1" pivotButton="0" quotePrefix="0" xfId="0">
      <alignment horizontal="left" vertical="top" wrapText="1"/>
    </xf>
    <xf numFmtId="0" fontId="1" fillId="0" borderId="8" applyAlignment="1" pivotButton="0" quotePrefix="0" xfId="0">
      <alignment horizontal="left" vertical="top" wrapText="1"/>
    </xf>
    <xf numFmtId="0" fontId="1" fillId="0" borderId="0" applyAlignment="1" pivotButton="0" quotePrefix="0" xfId="0">
      <alignment vertical="top" wrapText="1"/>
    </xf>
    <xf numFmtId="0" fontId="2" fillId="2" borderId="3" applyAlignment="1" pivotButton="0" quotePrefix="0" xfId="0">
      <alignment horizontal="left" vertical="top" wrapText="1"/>
    </xf>
    <xf numFmtId="0" fontId="1" fillId="0" borderId="1" applyAlignment="1" pivotButton="0" quotePrefix="0" xfId="0">
      <alignment horizontal="left" vertical="top" wrapText="1"/>
    </xf>
    <xf numFmtId="0" fontId="2" fillId="2" borderId="1" applyAlignment="1" pivotButton="0" quotePrefix="0" xfId="0">
      <alignment wrapText="1"/>
    </xf>
    <xf numFmtId="0" fontId="1" fillId="0" borderId="6" applyAlignment="1" applyProtection="1" pivotButton="0" quotePrefix="0" xfId="0">
      <alignment vertical="top" wrapText="1"/>
      <protection locked="0" hidden="0"/>
    </xf>
    <xf numFmtId="0" fontId="1" fillId="0" borderId="6" applyAlignment="1" applyProtection="1" pivotButton="0" quotePrefix="0" xfId="0">
      <alignment wrapText="1"/>
      <protection locked="0" hidden="0"/>
    </xf>
    <xf numFmtId="0" fontId="12" fillId="0" borderId="6" applyAlignment="1" applyProtection="1" pivotButton="0" quotePrefix="0" xfId="0">
      <alignment wrapText="1"/>
      <protection locked="0" hidden="0"/>
    </xf>
    <xf numFmtId="0" fontId="1" fillId="0" borderId="8" applyAlignment="1" applyProtection="1" pivotButton="0" quotePrefix="0" xfId="0">
      <alignment wrapText="1"/>
      <protection locked="0" hidden="0"/>
    </xf>
    <xf numFmtId="0" fontId="0" fillId="0" borderId="17" pivotButton="0" quotePrefix="0" xfId="0"/>
    <xf numFmtId="0" fontId="0" fillId="0" borderId="18" pivotButton="0" quotePrefix="0" xfId="0"/>
    <xf numFmtId="0" fontId="0" fillId="0" borderId="19" applyAlignment="1" pivotButton="0" quotePrefix="0" xfId="0">
      <alignment wrapText="1"/>
    </xf>
    <xf numFmtId="0" fontId="6" fillId="0" borderId="20" pivotButton="0" quotePrefix="0" xfId="0"/>
    <xf numFmtId="0" fontId="6" fillId="0" borderId="21" pivotButton="0" quotePrefix="0" xfId="0"/>
    <xf numFmtId="0" fontId="6" fillId="0" borderId="22" pivotButton="0" quotePrefix="0" xfId="0"/>
    <xf numFmtId="0" fontId="17" fillId="6" borderId="15" pivotButton="0" quotePrefix="0" xfId="0"/>
    <xf numFmtId="0" fontId="0" fillId="6" borderId="16" pivotButton="0" quotePrefix="0" xfId="0"/>
    <xf numFmtId="0" fontId="0" fillId="0" borderId="23" applyAlignment="1" pivotButton="0" quotePrefix="0" xfId="0">
      <alignment wrapText="1"/>
    </xf>
    <xf numFmtId="0" fontId="0" fillId="0" borderId="6" applyProtection="1" pivotButton="0" quotePrefix="0" xfId="0">
      <protection locked="0" hidden="0"/>
    </xf>
    <xf numFmtId="0" fontId="1" fillId="5" borderId="4" applyAlignment="1" applyProtection="1" pivotButton="0" quotePrefix="0" xfId="0">
      <alignment horizontal="left"/>
      <protection locked="0" hidden="0"/>
    </xf>
    <xf numFmtId="0" fontId="1" fillId="5" borderId="8" applyAlignment="1" applyProtection="1" pivotButton="0" quotePrefix="0" xfId="0">
      <alignment horizontal="left"/>
      <protection locked="0" hidden="0"/>
    </xf>
    <xf numFmtId="0" fontId="6" fillId="0" borderId="15" applyAlignment="1" pivotButton="0" quotePrefix="0" xfId="0">
      <alignment horizontal="right"/>
    </xf>
    <xf numFmtId="164" fontId="0" fillId="0" borderId="16" applyAlignment="1" pivotButton="0" quotePrefix="0" xfId="0">
      <alignment horizontal="center"/>
    </xf>
  </cellXfs>
  <cellStyles count="1">
    <cellStyle name="Normal" xfId="0" builtinId="0"/>
  </cellStyles>
  <dxfs count="28">
    <dxf>
      <font>
        <b val="1"/>
      </font>
      <fill>
        <patternFill>
          <bgColor rgb="FF64DEEF"/>
        </patternFill>
      </fill>
    </dxf>
    <dxf>
      <font>
        <b val="1"/>
        <color auto="1"/>
      </font>
      <fill>
        <patternFill>
          <bgColor rgb="FF3399FF"/>
        </patternFill>
      </fill>
    </dxf>
    <dxf>
      <font>
        <b val="1"/>
        <color auto="1"/>
      </font>
      <fill>
        <patternFill>
          <bgColor rgb="FF3399FF"/>
        </patternFill>
      </fill>
    </dxf>
    <dxf>
      <font>
        <b val="1"/>
        <color auto="1"/>
      </font>
      <fill>
        <patternFill>
          <bgColor rgb="FF3399FF"/>
        </patternFill>
      </fill>
    </dxf>
    <dxf>
      <font>
        <b val="1"/>
      </font>
      <fill>
        <patternFill>
          <bgColor rgb="FF64DEEF"/>
        </patternFill>
      </fill>
    </dxf>
    <dxf>
      <font>
        <b val="1"/>
        <color auto="1"/>
      </font>
      <fill>
        <patternFill>
          <bgColor rgb="FF3399FF"/>
        </patternFill>
      </fill>
    </dxf>
    <dxf>
      <font>
        <b val="1"/>
        <color auto="1"/>
      </font>
      <fill>
        <patternFill>
          <bgColor rgb="FF3399FF"/>
        </patternFill>
      </fill>
    </dxf>
    <dxf>
      <font>
        <b val="1"/>
      </font>
      <fill>
        <patternFill>
          <bgColor rgb="FF64DEEF"/>
        </patternFill>
      </fill>
    </dxf>
    <dxf>
      <font>
        <b val="1"/>
        <color auto="1"/>
      </font>
      <fill>
        <patternFill>
          <bgColor rgb="FF3399FF"/>
        </patternFill>
      </fill>
    </dxf>
    <dxf>
      <font>
        <b val="1"/>
        <color auto="1"/>
      </font>
      <fill>
        <patternFill>
          <bgColor rgb="FF3399FF"/>
        </patternFill>
      </fill>
    </dxf>
    <dxf>
      <font>
        <b val="1"/>
        <color auto="1"/>
      </font>
      <fill>
        <patternFill>
          <bgColor rgb="FF3399FF"/>
        </patternFill>
      </fill>
    </dxf>
    <dxf>
      <font>
        <b val="1"/>
        <color auto="1"/>
      </font>
      <fill>
        <patternFill>
          <bgColor rgb="FF3399FF"/>
        </patternFill>
      </fill>
    </dxf>
    <dxf>
      <font>
        <b val="1"/>
      </font>
      <fill>
        <patternFill>
          <bgColor rgb="FF64DEEF"/>
        </patternFill>
      </fill>
    </dxf>
    <dxf>
      <font>
        <color rgb="FF006100"/>
      </font>
      <fill>
        <patternFill>
          <bgColor rgb="FFC6EFCE"/>
        </patternFill>
      </fill>
    </dxf>
    <dxf>
      <font>
        <color rgb="FF9C0006"/>
      </font>
      <fill>
        <patternFill>
          <bgColor rgb="FFFFC7CE"/>
        </patternFill>
      </fill>
    </dxf>
    <dxf>
      <font>
        <b val="1"/>
        <color auto="1"/>
      </font>
      <fill>
        <patternFill>
          <bgColor rgb="FF3399FF"/>
        </patternFill>
      </fill>
    </dxf>
    <dxf>
      <font>
        <color auto="1"/>
      </font>
      <fill>
        <patternFill>
          <bgColor rgb="FFF4A26C"/>
        </patternFill>
      </fill>
    </dxf>
    <dxf>
      <font>
        <color auto="1"/>
      </font>
      <fill>
        <patternFill>
          <bgColor rgb="FFF4A26C"/>
        </patternFill>
      </fill>
    </dxf>
    <dxf>
      <font>
        <color auto="1"/>
      </font>
      <fill>
        <patternFill>
          <bgColor rgb="FFF4A26C"/>
        </patternFill>
      </fill>
    </dxf>
    <dxf>
      <font>
        <color auto="1"/>
      </font>
      <fill>
        <patternFill>
          <bgColor rgb="FFF4A26C"/>
        </patternFill>
      </fill>
    </dxf>
    <dxf>
      <font>
        <b val="1"/>
      </font>
      <fill>
        <patternFill>
          <bgColor rgb="FF64DEEF"/>
        </patternFill>
      </fill>
    </dxf>
    <dxf>
      <font>
        <color rgb="FF006100"/>
      </font>
      <fill>
        <patternFill>
          <bgColor rgb="FFC6EFCE"/>
        </patternFill>
      </fill>
    </dxf>
    <dxf>
      <font>
        <color rgb="FF9C0006"/>
      </font>
      <fill>
        <patternFill>
          <bgColor rgb="FFFFC7CE"/>
        </patternFill>
      </fill>
    </dxf>
    <dxf>
      <font>
        <color auto="1"/>
      </font>
      <fill>
        <patternFill>
          <bgColor rgb="FFF4A26C"/>
        </patternFill>
      </fill>
    </dxf>
    <dxf>
      <font>
        <b val="1"/>
      </font>
      <fill>
        <patternFill>
          <bgColor rgb="FF64DEEF"/>
        </patternFill>
      </fill>
    </dxf>
    <dxf>
      <font>
        <color rgb="FF006100"/>
      </font>
      <fill>
        <patternFill>
          <bgColor rgb="FFC6EFCE"/>
        </patternFill>
      </fill>
    </dxf>
    <dxf>
      <font>
        <color rgb="FF9C0006"/>
      </font>
      <fill>
        <patternFill>
          <bgColor rgb="FFFFC7CE"/>
        </patternFill>
      </fill>
    </dxf>
    <dxf>
      <font>
        <color auto="1"/>
      </font>
      <fill>
        <patternFill>
          <bgColor rgb="FFF4A26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B7:E31"/>
  <sheetViews>
    <sheetView topLeftCell="A2" workbookViewId="0">
      <selection activeCell="C14" sqref="C14"/>
    </sheetView>
  </sheetViews>
  <sheetFormatPr baseColWidth="8" defaultRowHeight="14.4"/>
  <cols>
    <col width="34" bestFit="1" customWidth="1" min="2" max="2"/>
    <col width="74.5546875" customWidth="1" min="3" max="3"/>
    <col width="17.44140625" bestFit="1" customWidth="1" min="5" max="5"/>
  </cols>
  <sheetData>
    <row r="7">
      <c r="E7" s="14" t="n"/>
    </row>
    <row r="13" ht="15" customHeight="1" thickBot="1"/>
    <row r="14">
      <c r="B14" s="11" t="inlineStr">
        <is>
          <t>Leverantör:</t>
        </is>
      </c>
      <c r="C14" s="89" t="n"/>
    </row>
    <row r="15" ht="15" customHeight="1" thickBot="1">
      <c r="B15" s="12" t="inlineStr">
        <is>
          <t>Org.nr:</t>
        </is>
      </c>
      <c r="C15" s="90" t="n"/>
    </row>
    <row r="16" ht="15" customHeight="1" thickBot="1"/>
    <row r="17">
      <c r="B17" s="27" t="inlineStr">
        <is>
          <t>Antal ska-krav:</t>
        </is>
      </c>
      <c r="C17" s="24">
        <f>COUNTIF('A. Icke-funktionella krav'!D:D,"Ska")+COUNTIF('B. Funktionella krav'!D:D,"Ska")+COUNTIF('C. Informationssäkerhetskrav'!D:D,"Ska")</f>
        <v/>
      </c>
    </row>
    <row r="18">
      <c r="B18" s="28" t="inlineStr">
        <is>
          <t>Antal bör-krav:</t>
        </is>
      </c>
      <c r="C18" s="25">
        <f>COUNTIF('A. Icke-funktionella krav'!D:D,"Bör")+COUNTIF('B. Funktionella krav'!D:D,"Bör")+COUNTIF('C. Informationssäkerhetskrav'!D:D,"Bör")</f>
        <v/>
      </c>
    </row>
    <row r="19" ht="15" customHeight="1" thickBot="1">
      <c r="B19" s="29" t="inlineStr">
        <is>
          <t>Totalt antal:</t>
        </is>
      </c>
      <c r="C19" s="26">
        <f>SUM(C17:C18)</f>
        <v/>
      </c>
    </row>
    <row r="20" ht="15" customHeight="1" thickBot="1"/>
    <row r="21">
      <c r="B21" s="27" t="inlineStr">
        <is>
          <t>Antal uppfyllda Ska-krav:</t>
        </is>
      </c>
      <c r="C21" s="24">
        <f>COUNTIFS('A. Icke-funktionella krav'!D:D,"Ska",'A. Icke-funktionella krav'!E:E,"Ja")+COUNTIFS('B. Funktionella krav'!D:D,"Ska",'B. Funktionella krav'!E:E,"Ja")+COUNTIFS('C. Informationssäkerhetskrav'!D:D,"Ska",'C. Informationssäkerhetskrav'!E:E,"Ja")</f>
        <v/>
      </c>
    </row>
    <row r="22" ht="15" customHeight="1" thickBot="1">
      <c r="B22" s="29" t="inlineStr">
        <is>
          <t>Antal uppfyllda Bör-krav:</t>
        </is>
      </c>
      <c r="C22" s="26">
        <f>COUNTIFS('A. Icke-funktionella krav'!D:D,"Bör",'A. Icke-funktionella krav'!E:E,"Ja")+COUNTIFS('B. Funktionella krav'!D:D,"Bör",'B. Funktionella krav'!E:E,"Ja")+COUNTIFS('C. Informationssäkerhetskrav'!D:D,"Bör",'C. Informationssäkerhetskrav'!E:E,"Ja")</f>
        <v/>
      </c>
    </row>
    <row r="23" ht="15" customHeight="1" thickBot="1">
      <c r="B23" s="23" t="n"/>
    </row>
    <row r="24" ht="15" customHeight="1" thickBot="1">
      <c r="B24" s="91" t="inlineStr">
        <is>
          <t>Fiktivt prisavdrag (delsumma)</t>
        </is>
      </c>
      <c r="C24" s="92">
        <f>SUM(C22*29473.6842)</f>
        <v/>
      </c>
    </row>
    <row r="26" ht="15" customHeight="1" thickBot="1"/>
    <row r="27" ht="18.6" customHeight="1" thickBot="1">
      <c r="B27" s="85" t="inlineStr">
        <is>
          <t>Defintionslista</t>
        </is>
      </c>
      <c r="C27" s="86" t="n"/>
    </row>
    <row r="28">
      <c r="B28" s="82" t="inlineStr">
        <is>
          <t>Beställare/Upphandlande myndighet</t>
        </is>
      </c>
      <c r="C28" s="79" t="inlineStr">
        <is>
          <t>Botkyrkabyggen AB</t>
        </is>
      </c>
    </row>
    <row r="29">
      <c r="B29" s="83" t="inlineStr">
        <is>
          <t>Användare</t>
        </is>
      </c>
      <c r="C29" s="80" t="inlineStr">
        <is>
          <t>Handläggare hos Botkyrkabyggen</t>
        </is>
      </c>
    </row>
    <row r="30">
      <c r="B30" s="83" t="inlineStr">
        <is>
          <t>Kund/Hyresgäst</t>
        </is>
      </c>
      <c r="C30" s="80" t="inlineStr">
        <is>
          <t>Hyresgäst hos Botkyrkabyggen</t>
        </is>
      </c>
    </row>
    <row r="31" ht="29.4" customHeight="1" thickBot="1">
      <c r="B31" s="84" t="inlineStr">
        <is>
          <t>Tjänsten</t>
        </is>
      </c>
      <c r="C31" s="81" t="inlineStr">
        <is>
          <t>Tjänsten avser offerad lösning av anbudsgivaren och omfattar administratörsgränssnitt samt mobilapplikation för hyresgäster.</t>
        </is>
      </c>
    </row>
  </sheetData>
  <sheetProtection selectLockedCells="0" selectUnlockedCells="0" algorithmName="SHA-512" sheet="1" objects="1" insertRows="1" insertHyperlinks="1" autoFilter="1" scenarios="1" formatColumns="1" deleteColumns="1" insertColumns="1" pivotTables="1" deleteRows="1" formatCells="1" saltValue="xK4n0F+dBLRfTv6rgDtQYw==" formatRows="1" sort="1" spinCount="100000" hashValue="wmg9B9AS/Gwb73dyQaNMr1gwrGxiKu+jfR4UGN3rKcYAU7t9uQ9Wa02xUhtWdmYuYzmDg/IzkQcZdc6T/tJY9Q=="/>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61"/>
  <sheetViews>
    <sheetView zoomScale="101" zoomScaleNormal="115" workbookViewId="0">
      <selection activeCell="B11" sqref="B11"/>
    </sheetView>
  </sheetViews>
  <sheetFormatPr baseColWidth="8" defaultColWidth="9.109375" defaultRowHeight="13.8"/>
  <cols>
    <col width="2.21875" customWidth="1" style="1" min="1" max="1"/>
    <col width="10.33203125" bestFit="1" customWidth="1" style="2" min="2" max="2"/>
    <col width="79.6640625" customWidth="1" style="68" min="3" max="3"/>
    <col width="9.109375" customWidth="1" style="2" min="4" max="4"/>
    <col width="12" bestFit="1" customWidth="1" style="1" min="5" max="5"/>
    <col width="85.33203125" customWidth="1" style="68" min="6" max="6"/>
    <col width="9.109375" customWidth="1" style="1" min="7" max="16384"/>
  </cols>
  <sheetData>
    <row r="1"/>
    <row r="2"/>
    <row r="3"/>
    <row r="4"/>
    <row r="5"/>
    <row r="6" ht="14.4" customHeight="1" thickBot="1"/>
    <row r="7">
      <c r="B7" s="11" t="inlineStr">
        <is>
          <t>Leverantör:</t>
        </is>
      </c>
      <c r="C7" s="69">
        <f>Instruktion!C14</f>
        <v/>
      </c>
    </row>
    <row r="8" ht="14.4" customHeight="1" thickBot="1">
      <c r="B8" s="12" t="inlineStr">
        <is>
          <t>Orgnr:</t>
        </is>
      </c>
      <c r="C8" s="70">
        <f>Instruktion!C15</f>
        <v/>
      </c>
    </row>
    <row r="9" ht="14.4" customHeight="1" thickBot="1">
      <c r="B9" s="3" t="n"/>
      <c r="C9" s="71" t="n"/>
    </row>
    <row r="10">
      <c r="B10" s="46" t="inlineStr">
        <is>
          <t>#</t>
        </is>
      </c>
      <c r="C10" s="72" t="inlineStr">
        <is>
          <t>A.1 Allmänna krav</t>
        </is>
      </c>
      <c r="D10" s="47" t="inlineStr">
        <is>
          <t>Kravtyp</t>
        </is>
      </c>
      <c r="E10" s="48" t="inlineStr">
        <is>
          <t>Uppfylls krav?</t>
        </is>
      </c>
      <c r="F10" s="57" t="inlineStr">
        <is>
          <t>Ev. Kommentar</t>
        </is>
      </c>
    </row>
    <row r="11">
      <c r="B11" s="9" t="inlineStr">
        <is>
          <t>A.1.1</t>
        </is>
      </c>
      <c r="C11" s="73" t="inlineStr">
        <is>
          <t>Systemet ska vara en molntjänst (Saas).</t>
        </is>
      </c>
      <c r="D11" s="6" t="inlineStr">
        <is>
          <t>Ska</t>
        </is>
      </c>
      <c r="E11" s="15" t="inlineStr">
        <is>
          <t>Ja</t>
        </is>
      </c>
      <c r="F11" s="75" t="inlineStr">
        <is>
          <t>Ingår i leveransen. Tjänsten levereras som molntjänst. Driftplattform upphandlas inför driftsättning, med krav på behandling inom EU/EES. Se docs/arkitektur.md.</t>
        </is>
      </c>
    </row>
    <row r="12">
      <c r="B12" s="9" t="inlineStr">
        <is>
          <t>A.1.2</t>
        </is>
      </c>
      <c r="C12" s="73" t="inlineStr">
        <is>
          <t>Tjänsten ska ha ett administrationsgränssnitt i desktopmiljö.</t>
        </is>
      </c>
      <c r="D12" s="6" t="inlineStr">
        <is>
          <t>Ska</t>
        </is>
      </c>
      <c r="E12" s="15" t="inlineStr">
        <is>
          <t>Ja</t>
        </is>
      </c>
      <c r="F12" s="76" t="inlineStr">
        <is>
          <t>Uppfylld. Administrationsgränssnitt för desktop, packages/web/src/staff.</t>
        </is>
      </c>
    </row>
    <row r="13">
      <c r="B13" s="9" t="inlineStr">
        <is>
          <t>A.1.3</t>
        </is>
      </c>
      <c r="C13" s="7" t="inlineStr">
        <is>
          <t>Tjänsten ska fungera utan att användaren behöver installera annan programvara utöver webläsaren.</t>
        </is>
      </c>
      <c r="D13" s="6" t="inlineStr">
        <is>
          <t>Ska</t>
        </is>
      </c>
      <c r="E13" s="15" t="inlineStr">
        <is>
          <t>Ja</t>
        </is>
      </c>
      <c r="F13" s="75" t="inlineStr">
        <is>
          <t>Uppfylld. Rent webbgränssnitt utan insticksmoduler. Kan installeras på hemskärmen men kräver ingen installation.</t>
        </is>
      </c>
    </row>
    <row r="14">
      <c r="B14" s="9" t="inlineStr">
        <is>
          <t>A.1.4</t>
        </is>
      </c>
      <c r="C14" s="73" t="inlineStr">
        <is>
          <t>Anbudsgivaren ska offerera en mobilapplikation för hyresgäster.</t>
        </is>
      </c>
      <c r="D14" s="6" t="inlineStr">
        <is>
          <t>Ska</t>
        </is>
      </c>
      <c r="E14" s="15" t="inlineStr">
        <is>
          <t>Ja</t>
        </is>
      </c>
      <c r="F14" s="75" t="inlineStr">
        <is>
          <t>Ingår i leveransen. Hyresgästdelen är byggd mobil först, kan installeras på hemskärmen och startar utan täckning. Paketering som app i App Store och Google Play ingår i leveransen och är inte genomförd.</t>
        </is>
      </c>
    </row>
    <row r="15">
      <c r="B15" s="9" t="inlineStr">
        <is>
          <t>A.1.5</t>
        </is>
      </c>
      <c r="C15" s="7" t="inlineStr">
        <is>
          <t>Om någon systemanpassning som är unik för Beställaren är gjord ska den bevaras i framtida versioner.</t>
        </is>
      </c>
      <c r="D15" s="6" t="inlineStr">
        <is>
          <t>Ska</t>
        </is>
      </c>
      <c r="E15" s="15" t="inlineStr">
        <is>
          <t>Ja</t>
        </is>
      </c>
      <c r="F15" s="76" t="inlineStr">
        <is>
          <t>Uppfylld. Kundunika anpassningar lagras som data per organisation (profil, begrepp, moduler, resurser, kategorier), inte som kodgren, och följer därför med vid uppgradering.</t>
        </is>
      </c>
    </row>
    <row r="16" ht="41.4" customHeight="1">
      <c r="B16" s="9" t="inlineStr">
        <is>
          <t>A.1.6</t>
        </is>
      </c>
      <c r="C16" s="42" t="inlineStr">
        <is>
          <t>Med överföring avses alla fall där data transporteras eller förflyttas från leverantörens tjänst. Detta kan vara  till ett annat system via till exempel en integration, eller till en användare, till exempel till en webbläsare eller applikation.</t>
        </is>
      </c>
      <c r="D16" s="6" t="inlineStr">
        <is>
          <t>Ska</t>
        </is>
      </c>
      <c r="E16" s="15" t="inlineStr">
        <is>
          <t>Ja</t>
        </is>
      </c>
      <c r="F16" s="76" t="inlineStr">
        <is>
          <t>Uppfylld. All överföring sker via API:et och registreras i integration_events med riktning, utfall och tidpunkt.</t>
        </is>
      </c>
    </row>
    <row r="17" ht="27.6" customHeight="1">
      <c r="B17" s="9" t="inlineStr">
        <is>
          <t>A.1.7</t>
        </is>
      </c>
      <c r="C17" s="43" t="inlineStr">
        <is>
          <t xml:space="preserve">Tjänsten ska ha stöd för att dela data med externa system och tredje part via API:er enligt öppna format och standarder. </t>
        </is>
      </c>
      <c r="D17" s="6" t="inlineStr">
        <is>
          <t>Ska</t>
        </is>
      </c>
      <c r="E17" s="15" t="inlineStr">
        <is>
          <t>Ja</t>
        </is>
      </c>
      <c r="F17" s="76" t="inlineStr">
        <is>
          <t>Uppfylld. JSON över HTTP enligt OpenAPI 3.1, med OAuth 2.0 för maskin-till-maskin. Inga proprietära format.</t>
        </is>
      </c>
    </row>
    <row r="18">
      <c r="B18" s="9" t="inlineStr">
        <is>
          <t>A.1.8</t>
        </is>
      </c>
      <c r="C18" s="43" t="inlineStr">
        <is>
          <t>Tjänsten ska kunna integrera med Beställarens fastighetssystem (nuvarande Vitec)</t>
        </is>
      </c>
      <c r="D18" s="6" t="inlineStr">
        <is>
          <t>Ska</t>
        </is>
      </c>
      <c r="E18" s="15" t="inlineStr">
        <is>
          <t>Ja</t>
        </is>
      </c>
      <c r="F18" s="76" t="inlineStr">
        <is>
          <t>Kräver konfiguration. Synkroniseringsmotor med markör, färskhet och omförsök samt adapter mot Vitec med dokumenterad fältavbildning (src/integrations/vitec.ts). Kräver adress, API-nyckel och avtal om dataöverföring.</t>
        </is>
      </c>
    </row>
    <row r="19">
      <c r="B19" s="9" t="inlineStr">
        <is>
          <t>A.1.9</t>
        </is>
      </c>
      <c r="C19" s="43" t="inlineStr">
        <is>
          <t>Tjänsten ska kunna integrera med Beställarens boknings- och passersystem (nuvarande Aptus)</t>
        </is>
      </c>
      <c r="D19" s="6" t="inlineStr">
        <is>
          <t>Ska</t>
        </is>
      </c>
      <c r="E19" s="15" t="inlineStr">
        <is>
          <t>Ja</t>
        </is>
      </c>
      <c r="F19" s="76" t="inlineStr">
        <is>
          <t>Kräver konfiguration. Passagepunkter, behörigheter och bokningsresurser finns i datamodellen, och behörigheter kan återkallas och loggas. Adaptern mot Aptus byggs efter samma mönster som fastighetssystemet när anslutningsavtal och teknisk konfiguration finns.</t>
        </is>
      </c>
    </row>
    <row r="20" ht="27.6" customHeight="1">
      <c r="B20" s="9" t="inlineStr">
        <is>
          <t>A.1.10</t>
        </is>
      </c>
      <c r="C20" s="43" t="inlineStr">
        <is>
          <t>Leverantören är ansvarig för att extern åtkomst till datamängder i systemet via API:er är säker och att obehöriga inte kan få åtkomst till data.</t>
        </is>
      </c>
      <c r="D20" s="6" t="inlineStr">
        <is>
          <t>Ska</t>
        </is>
      </c>
      <c r="E20" s="15" t="inlineStr">
        <is>
          <t>Ja</t>
        </is>
      </c>
      <c r="F20" s="76" t="inlineStr">
        <is>
          <t>Uppfylld. Extern åtkomst sker med OAuth 2.0 och scope-begränsade konton. Kundsepareringen ligger i databasen och gäller även maskinkonton, vilket prövas av test.</t>
        </is>
      </c>
    </row>
    <row r="21">
      <c r="B21" s="9" t="inlineStr">
        <is>
          <t>A.1.12</t>
        </is>
      </c>
      <c r="C21" s="43" t="inlineStr">
        <is>
          <t>API ska leverera data i UTF-8.</t>
        </is>
      </c>
      <c r="D21" s="6" t="inlineStr">
        <is>
          <t>Ska</t>
        </is>
      </c>
      <c r="E21" s="15" t="inlineStr">
        <is>
          <t>Ja</t>
        </is>
      </c>
      <c r="F21" s="76" t="inlineStr">
        <is>
          <t>Uppfylld. All utdata är UTF-8. Svenska tecken prövas i testsviten.</t>
        </is>
      </c>
    </row>
    <row r="22">
      <c r="B22" s="9" t="inlineStr">
        <is>
          <t>A.1.13</t>
        </is>
      </c>
      <c r="C22" s="44" t="inlineStr">
        <is>
          <t>API ska logga alla anrop med tidsstämpel, IP-adress och användar-ID.</t>
        </is>
      </c>
      <c r="D22" s="6" t="inlineStr">
        <is>
          <t>Ska</t>
        </is>
      </c>
      <c r="E22" s="15" t="inlineStr">
        <is>
          <t>Ja</t>
        </is>
      </c>
      <c r="F22" s="76" t="inlineStr">
        <is>
          <t>Uppfylld. Varje anrop loggas med tidsstämpel, IP-adress, sökväg, svarskod och användar- eller klientidentitet. Authorization-huvudet tas bort innan raden skrivs.</t>
        </is>
      </c>
    </row>
    <row r="23">
      <c r="B23" s="9" t="inlineStr">
        <is>
          <t>A.1.14</t>
        </is>
      </c>
      <c r="C23" s="43" t="inlineStr">
        <is>
          <t>Tjänsten API ska vara dokumenterade i OpenAPI-format och tillgängliga för UM och dess samarbetspartners.</t>
        </is>
      </c>
      <c r="D23" s="6" t="inlineStr">
        <is>
          <t>Ska</t>
        </is>
      </c>
      <c r="E23" s="15" t="inlineStr">
        <is>
          <t>Ja</t>
        </is>
      </c>
      <c r="F23" s="76" t="inlineStr">
        <is>
          <t>Uppfylld. OpenAPI 3.1 genereras ur den verkliga rutttabellen: 106 sökvägar, 127 anrop. Hämtas på /api/openapi.json.</t>
        </is>
      </c>
    </row>
    <row r="24">
      <c r="B24" s="9" t="inlineStr">
        <is>
          <t>A.1.15</t>
        </is>
      </c>
      <c r="C24" s="43" t="inlineStr">
        <is>
          <t>API:et ska stödja OAuth 2.0 för autentisering och auktorisering.</t>
        </is>
      </c>
      <c r="D24" s="6" t="inlineStr">
        <is>
          <t>Ska</t>
        </is>
      </c>
      <c r="E24" s="15" t="inlineStr">
        <is>
          <t>Ja</t>
        </is>
      </c>
      <c r="F24" s="76" t="inlineStr">
        <is>
          <t>Uppfylld. Tokenendpoint enligt RFC 6749 med client_credentials, introspektion enligt RFC 7662 och återkallande enligt RFC 7009. Tolv tester.</t>
        </is>
      </c>
    </row>
    <row r="25">
      <c r="B25" s="9" t="inlineStr">
        <is>
          <t>A.1.16</t>
        </is>
      </c>
      <c r="C25" s="43" t="inlineStr">
        <is>
          <t>Tjänsten ska ha stöd för responsiv design.</t>
        </is>
      </c>
      <c r="D25" s="6" t="inlineStr">
        <is>
          <t>Ska</t>
        </is>
      </c>
      <c r="E25" s="15" t="inlineStr">
        <is>
          <t>Ja</t>
        </is>
      </c>
      <c r="F25" s="76" t="inlineStr">
        <is>
          <t>Uppfylld. Responsiv från 320 px. Hyresgästdelen är byggd mobil först, förvaltningen för desktop.</t>
        </is>
      </c>
    </row>
    <row r="26" ht="96.59999999999999" customHeight="1">
      <c r="B26" s="9" t="inlineStr">
        <is>
          <t>A.1.17</t>
        </is>
      </c>
      <c r="C26" s="43" t="inlineStr">
        <is>
          <t xml:space="preserve">Tjänsten ska från Beställarens fastighetssystem, via integration, kunna läsa in minst följande kundinformation: 
 - Objektnummer (för hyresobjektet som finns i fastighetssystemet) 
- Kundens namn 
- Kundens adress 
- Kundens telefonnummer 
- Kundens e-postadress 
- Kundens personnummer (för möjliggörande av inloggning via Bank-ID) </t>
        </is>
      </c>
      <c r="D26" s="6" t="inlineStr">
        <is>
          <t>Ska</t>
        </is>
      </c>
      <c r="E26" s="15" t="inlineStr">
        <is>
          <t>Ja</t>
        </is>
      </c>
      <c r="F26" s="76" t="inlineStr">
        <is>
          <t>Kräver konfiguration. Fältavbildning för kundnummer, namn, adress, telefon, e-post och personnummer finns i src/integrations/vitec.ts. Personnumret lagras bara som pepprad hash. Kräver anslutning enligt A.1.8.</t>
        </is>
      </c>
    </row>
    <row r="27" ht="110.4" customHeight="1">
      <c r="B27" s="9" t="inlineStr">
        <is>
          <t>A.1.18</t>
        </is>
      </c>
      <c r="C27" s="43" t="inlineStr">
        <is>
          <t xml:space="preserve">Tjänsten bör från Beställarens fastighetssystem, via integration, kunna läsa in minst följande kundinformation avseende medboende: 
 - Objektnummer (för hyresobjektet som finns i fastighetssystemet) 
- Kundens namn 
- Kundens adress 
- Kundens telefonnummer 
- Kundens e-postadress 
- Kundens personnummer (för möjliggörande av inloggning via Bank-ID) </t>
        </is>
      </c>
      <c r="D27" s="6" t="inlineStr">
        <is>
          <t>Bör</t>
        </is>
      </c>
      <c r="E27" s="15" t="inlineStr">
        <is>
          <t>Ja</t>
        </is>
      </c>
      <c r="F27" s="76" t="inlineStr">
        <is>
          <t>Kräver konfiguration. Medboende hanteras i datamodellen och ingår i avbildningen. Kräver anslutning enligt A.1.8.</t>
        </is>
      </c>
    </row>
    <row r="28" ht="124.2" customHeight="1">
      <c r="B28" s="9" t="inlineStr">
        <is>
          <t>A.1.19</t>
        </is>
      </c>
      <c r="C28" s="43" t="inlineStr">
        <is>
          <t xml:space="preserve">Tjänsten ska från Beställarens fastighetssystem, via integration, kunna läsa in minst följande information för varje hyresobjekt: 
- Objektnummer 
 - Namn 
 - Adress 
- Eventuell medboende/intressent 
- uppgifter om hyresavtalets startdatum och tidigaste datum för utflytt vid uppsägning
- planlösning 
- övriga dokument kopplade till kontraktet eller objektet </t>
        </is>
      </c>
      <c r="D28" s="6" t="inlineStr">
        <is>
          <t>Ska</t>
        </is>
      </c>
      <c r="E28" s="15" t="inlineStr">
        <is>
          <t>Ja</t>
        </is>
      </c>
      <c r="F28" s="76" t="inlineStr">
        <is>
          <t>Kräver konfiguration. Objektnummer, benämning, adress, medboende, avtalsstart, tidigaste utflytt och dokument ingår i avbildningen. Kräver anslutning enligt A.1.8.</t>
        </is>
      </c>
    </row>
    <row r="29" ht="82.8" customHeight="1">
      <c r="B29" s="9" t="inlineStr">
        <is>
          <t>A.1.20</t>
        </is>
      </c>
      <c r="C29" s="45" t="inlineStr">
        <is>
          <t>Tjänsten ska från Beställarens fastighetssystem, via integration, kunna läsa in minst följande fakturainformation:
-	Vilket avtal och vilken period som fakturan avser
-	Bankgiro
-	OCR
-	Förfallodatum
-	Belopp</t>
        </is>
      </c>
      <c r="D29" s="6" t="inlineStr">
        <is>
          <t>Ska</t>
        </is>
      </c>
      <c r="E29" s="15" t="inlineStr">
        <is>
          <t>Ja</t>
        </is>
      </c>
      <c r="F29" s="76" t="inlineStr">
        <is>
          <t>Kräver konfiguration. Avtal, period, bankgiro, OCR, förfallodatum och belopp ingår i avbildningen. Kräver anslutning enligt A.1.8.</t>
        </is>
      </c>
    </row>
    <row r="30">
      <c r="B30" s="10" t="inlineStr">
        <is>
          <t>#</t>
        </is>
      </c>
      <c r="C30" s="74" t="inlineStr">
        <is>
          <t>A.2 Användarbarhet</t>
        </is>
      </c>
      <c r="D30" s="4" t="inlineStr">
        <is>
          <t>Kravtyp</t>
        </is>
      </c>
      <c r="E30" s="5" t="inlineStr">
        <is>
          <t>Uppfylls krav?</t>
        </is>
      </c>
      <c r="F30" s="59" t="inlineStr">
        <is>
          <t>Ev. Kommentar</t>
        </is>
      </c>
    </row>
    <row r="31">
      <c r="B31" s="9" t="inlineStr">
        <is>
          <t>A.2.1</t>
        </is>
      </c>
      <c r="C31" s="7" t="inlineStr">
        <is>
          <t>Tjänsten ska ha möjlighet för att anpassa gränssnitt efter Beställarens grafiska design.</t>
        </is>
      </c>
      <c r="D31" s="6" t="inlineStr">
        <is>
          <t>Ska</t>
        </is>
      </c>
      <c r="E31" s="15" t="inlineStr">
        <is>
          <t>Ja</t>
        </is>
      </c>
      <c r="F31" s="76" t="inlineStr">
        <is>
          <t>Uppfylld. Färger, logotyp och begrepp sätts per organisation i administrationsgränssnittet och slår igenom i hela appen.</t>
        </is>
      </c>
    </row>
    <row r="32" ht="27.6" customHeight="1">
      <c r="B32" s="9" t="inlineStr">
        <is>
          <t>A.2.2</t>
        </is>
      </c>
      <c r="C32" s="7" t="inlineStr">
        <is>
          <t>Tjänstens gränssnitt inklusive dokumentation för Botkyrkabyggens anställda ska levereras på svenska och är anpassade efter svenska förhållanden.</t>
        </is>
      </c>
      <c r="D32" s="6" t="inlineStr">
        <is>
          <t>Ska</t>
        </is>
      </c>
      <c r="E32" s="15" t="inlineStr">
        <is>
          <t>Ja</t>
        </is>
      </c>
      <c r="F32" s="76" t="inlineStr">
        <is>
          <t>Uppfylld. Gränssnitt och dokumentation på svenska, med svenska datum- och talformat.</t>
        </is>
      </c>
    </row>
    <row r="33">
      <c r="B33" s="9" t="n"/>
      <c r="C33" s="7" t="inlineStr">
        <is>
          <t>Det bör vara möjligt att ändra Tjänstens språkgränsnitt till engelska för kund/hyresgäst.</t>
        </is>
      </c>
      <c r="D33" s="6" t="inlineStr">
        <is>
          <t>Bör</t>
        </is>
      </c>
      <c r="E33" s="15" t="inlineStr">
        <is>
          <t>Ja</t>
        </is>
      </c>
      <c r="F33" s="76" t="inlineStr">
        <is>
          <t>Uppfylld. Hyresgästen byter språk till engelska i profilen. Även driftinformation och utskick lagras i båda språken, inte bara etiketterna.</t>
        </is>
      </c>
    </row>
    <row r="34" ht="27.6" customHeight="1">
      <c r="B34" s="9" t="inlineStr">
        <is>
          <t>A.2.5</t>
        </is>
      </c>
      <c r="C34" s="7" t="inlineStr">
        <is>
          <t xml:space="preserve">Tjänsten ska följa WCAG 2.1 till minst nivå AA.
</t>
        </is>
      </c>
      <c r="D34" s="6" t="inlineStr">
        <is>
          <t>Ska</t>
        </is>
      </c>
      <c r="E34" s="15" t="inlineStr">
        <is>
          <t>Ja</t>
        </is>
      </c>
      <c r="F34" s="76" t="inlineStr">
        <is>
          <t>Uppfylld. Automatisk granskning med axe-core över 33 vyer mot WCAG 2.1 A och AA ger noll fel, se docs/tillganglighet.md. Oberoende granskning av tillgänglighetsexpert kvarstår och ingår i leveransen.</t>
        </is>
      </c>
    </row>
    <row r="35" ht="17.25" customHeight="1">
      <c r="B35" s="9" t="inlineStr">
        <is>
          <t>A.2.6</t>
        </is>
      </c>
      <c r="C35" s="7" t="inlineStr">
        <is>
          <t>Tjänsten gränssnitt ska ha inbyggda hjälptexter på svenska för användare samt kund/hyresgäst.</t>
        </is>
      </c>
      <c r="D35" s="6" t="inlineStr">
        <is>
          <t>Ska</t>
        </is>
      </c>
      <c r="E35" s="15" t="inlineStr">
        <is>
          <t>Ja</t>
        </is>
      </c>
      <c r="F35" s="76" t="inlineStr">
        <is>
          <t>Uppfylld. Hjälptexter vid fält och steg, samt förklarande text vid varje felkategori i felanmälan.</t>
        </is>
      </c>
    </row>
    <row r="36" ht="27.6" customHeight="1">
      <c r="B36" s="9" t="inlineStr">
        <is>
          <t>A.2.7</t>
        </is>
      </c>
      <c r="C36" s="8" t="inlineStr">
        <is>
          <t xml:space="preserve">Tjänsten ska vara utformat så att språkbruk, användargränssnitt, navigering, sparande, symboler och andra grafiska element används konsekvent och enhetligt genom hela systemet.  </t>
        </is>
      </c>
      <c r="D36" s="6" t="inlineStr">
        <is>
          <t>Ska</t>
        </is>
      </c>
      <c r="E36" s="15" t="inlineStr">
        <is>
          <t>Ja</t>
        </is>
      </c>
      <c r="F36" s="76" t="inlineStr">
        <is>
          <t>Uppfylld. Ett gemensamt designsystem med samma komponenter, samma sparbeteende och samma symboler i alla tre gränssnitten.</t>
        </is>
      </c>
    </row>
    <row r="37">
      <c r="B37" s="9" t="inlineStr">
        <is>
          <t>A.2.8</t>
        </is>
      </c>
      <c r="C37" s="8" t="inlineStr">
        <is>
          <t xml:space="preserve">Menyer, dialoger, felmeddelande och liknande som kan förekomma i systemet ska vara på svenska. </t>
        </is>
      </c>
      <c r="D37" s="6" t="inlineStr">
        <is>
          <t>Ska</t>
        </is>
      </c>
      <c r="E37" s="15" t="inlineStr">
        <is>
          <t>Ja</t>
        </is>
      </c>
      <c r="F37" s="76" t="inlineStr">
        <is>
          <t>Uppfylld. Menyer, dialoger och felmeddelanden är på svenska och skrivna för att gå att förstå utan förkunskap.</t>
        </is>
      </c>
    </row>
    <row r="38" ht="27.6" customHeight="1">
      <c r="B38" s="9" t="inlineStr">
        <is>
          <t>A.2.9</t>
        </is>
      </c>
      <c r="C38" s="8" t="inlineStr">
        <is>
          <t xml:space="preserve">Tjänsten ska visa datum och klockslag enligt vedertagen svensk standard (åååå-mm-dd respektive tt.mm enligt UTC(SP)). </t>
        </is>
      </c>
      <c r="D38" s="6" t="inlineStr">
        <is>
          <t>Ska</t>
        </is>
      </c>
      <c r="E38" s="15" t="inlineStr">
        <is>
          <t>Ja</t>
        </is>
      </c>
      <c r="F38" s="76" t="inlineStr">
        <is>
          <t>Uppfylld. Datum som åååå-mm-dd och klockslag som tt.mm, i svensk tidszon. Ett test kontrollerar att bokade tider ligger inom öppettiderna.</t>
        </is>
      </c>
    </row>
    <row r="39">
      <c r="B39" s="9" t="inlineStr">
        <is>
          <t>A.2.10</t>
        </is>
      </c>
      <c r="C39" s="8" t="inlineStr">
        <is>
          <t xml:space="preserve">Hjälpfunktioner ska finnas tillgängliga direkt från Tjänsten. </t>
        </is>
      </c>
      <c r="D39" s="6" t="inlineStr">
        <is>
          <t>Ska</t>
        </is>
      </c>
      <c r="E39" s="15" t="inlineStr">
        <is>
          <t>Ja</t>
        </is>
      </c>
      <c r="F39" s="76" t="inlineStr">
        <is>
          <t>Uppfylld. Hjälp nås från appen, och handledningarna finns i docs/guide-hyresgast.md och docs/handbok-handlaggare.md.</t>
        </is>
      </c>
    </row>
    <row r="40" ht="28.5" customHeight="1">
      <c r="B40" s="9" t="inlineStr">
        <is>
          <t>A.2.11</t>
        </is>
      </c>
      <c r="C40" s="8" t="inlineStr">
        <is>
          <t>Botkyrkabyggen ska ha möjlighet att välja och ändra de begrepp som används i Tjänsten gentemot kund, till exempel felanmälan/serviceanmälan/ärende, fastighetsvärd/bovärd/husvärd/kundvärd, område/distrikt.</t>
        </is>
      </c>
      <c r="D40" s="6" t="inlineStr">
        <is>
          <t>Ska</t>
        </is>
      </c>
      <c r="E40" s="15" t="inlineStr">
        <is>
          <t>Ja</t>
        </is>
      </c>
      <c r="F40" s="76" t="inlineStr">
        <is>
          <t>Uppfylld. Begreppen sätts per organisation i inställningarna och används genomgående i gränssnittet.</t>
        </is>
      </c>
    </row>
    <row r="41" ht="15" customHeight="1">
      <c r="B41" s="9" t="inlineStr">
        <is>
          <t>A.3.12</t>
        </is>
      </c>
      <c r="C41" s="8" t="inlineStr">
        <is>
          <t xml:space="preserve">Det skall gå att ta ut statistik över aktiva kunder i Tjänsten. </t>
        </is>
      </c>
      <c r="D41" s="6" t="inlineStr">
        <is>
          <t>Ska</t>
        </is>
      </c>
      <c r="E41" s="15" t="inlineStr">
        <is>
          <t>Ja</t>
        </is>
      </c>
      <c r="F41" s="76" t="inlineStr">
        <is>
          <t>Uppfylld. Aktiva kunder räknas på faktiska inloggningar under vald period, i förvaltningens översikt.</t>
        </is>
      </c>
    </row>
    <row r="42" ht="27.6" customHeight="1">
      <c r="B42" s="9" t="inlineStr">
        <is>
          <t>A.3.13</t>
        </is>
      </c>
      <c r="C42" s="8" t="inlineStr">
        <is>
          <t>Det bör vara möjligt att visualisera statistik över utförda aktiviteter, totalt och per område (såsom antal inloggningar, antal bokningar etc, fördelat över tid).</t>
        </is>
      </c>
      <c r="D42" s="6" t="inlineStr">
        <is>
          <t>Bör</t>
        </is>
      </c>
      <c r="E42" s="15" t="inlineStr">
        <is>
          <t>Ja</t>
        </is>
      </c>
      <c r="F42" s="76" t="inlineStr">
        <is>
          <t>Uppfylld. Användning redovisas totalt och per område, fördelat över tid. Registreringen sker med en pseudonym som byts varje dygn, så ingen enskild person går att följa.</t>
        </is>
      </c>
    </row>
    <row r="43" ht="27.6" customHeight="1">
      <c r="B43" s="9" t="inlineStr">
        <is>
          <t>A.3.14</t>
        </is>
      </c>
      <c r="C43" s="8" t="inlineStr">
        <is>
          <t>Det bör gå att ta ut statistik över hur många som har använt/klickat på respektive meny, enskilda nyheter mm, totalt samt uppdelat per område</t>
        </is>
      </c>
      <c r="D43" s="6" t="inlineStr">
        <is>
          <t>Bör</t>
        </is>
      </c>
      <c r="E43" s="15" t="inlineStr">
        <is>
          <t>Ja</t>
        </is>
      </c>
      <c r="F43" s="76" t="inlineStr">
        <is>
          <t>Uppfylld. Antal användare per meny, vy och enskild nyhet, totalt och per område.</t>
        </is>
      </c>
    </row>
    <row r="44">
      <c r="B44" s="10" t="inlineStr">
        <is>
          <t>#</t>
        </is>
      </c>
      <c r="C44" s="74" t="inlineStr">
        <is>
          <t>A.4 Kompabilitet/Webläsare/Klienter</t>
        </is>
      </c>
      <c r="D44" s="4" t="inlineStr">
        <is>
          <t>Kravtyp</t>
        </is>
      </c>
      <c r="E44" s="5" t="inlineStr">
        <is>
          <t>Uppfylls krav?</t>
        </is>
      </c>
      <c r="F44" s="59" t="inlineStr">
        <is>
          <t>Ev. Kommentar</t>
        </is>
      </c>
    </row>
    <row r="45" ht="46.5" customHeight="1">
      <c r="B45" s="9" t="inlineStr">
        <is>
          <t>A.4.1</t>
        </is>
      </c>
      <c r="C45" s="7" t="inlineStr">
        <is>
          <t>Tjänsten ska stödja aktuella versioner (minst de två senaste) av webbläsarna Microsoft Edge och Google Chrome. Med aktuella versioner avses de versioner som leverantören av webbläsaren vid var tid erbjuder support och säkerhetsuppdateringar för.</t>
        </is>
      </c>
      <c r="D45" s="6" t="inlineStr">
        <is>
          <t>Ska</t>
        </is>
      </c>
      <c r="E45" s="15" t="inlineStr">
        <is>
          <t>Ja</t>
        </is>
      </c>
      <c r="F45" s="76" t="inlineStr">
        <is>
          <t>Uppfylld. Byggs för de två senaste versionerna av Edge och Chrome. Genomgångarna i e2e/ körs i Chromium.</t>
        </is>
      </c>
    </row>
    <row r="46" ht="45" customHeight="1">
      <c r="B46" s="9" t="inlineStr">
        <is>
          <t>A.4.2</t>
        </is>
      </c>
      <c r="C46" s="7" t="inlineStr">
        <is>
          <t>Tjänsten bör stödja aktuella versioner (minst de två senaste) av webbläsaren Safari. Med aktuella versioner avses de versioner som leverantören av webbläsaren vid var tid erbjuder support och säkerhetsuppdateringar för.</t>
        </is>
      </c>
      <c r="D46" s="6" t="inlineStr">
        <is>
          <t>Bör</t>
        </is>
      </c>
      <c r="E46" s="15" t="inlineStr">
        <is>
          <t>Ja</t>
        </is>
      </c>
      <c r="F46" s="77" t="inlineStr">
        <is>
          <t>Uppfylld. Samma standarder som för Edge och Chrome, utan webbläsarspecifik kod.</t>
        </is>
      </c>
    </row>
    <row r="47" ht="41.4" customHeight="1">
      <c r="B47" s="9" t="inlineStr">
        <is>
          <t>A.4.3</t>
        </is>
      </c>
      <c r="C47" s="7" t="inlineStr">
        <is>
          <t xml:space="preserve">Tjänsten ska uppvisa full funktionalitet för användare på mobila enheter som smarta telefoner och surfplattor förutsatt att dessa stödjer gällande webbstandards.
</t>
        </is>
      </c>
      <c r="D47" s="6" t="inlineStr">
        <is>
          <t>Ska</t>
        </is>
      </c>
      <c r="E47" s="15" t="inlineStr">
        <is>
          <t>Ja</t>
        </is>
      </c>
      <c r="F47" s="76" t="inlineStr">
        <is>
          <t>Uppfylld. Full funktionalitet på telefon och surfplatta. Hela hyresgästresan körs i genomgången på 390 px bredd.</t>
        </is>
      </c>
    </row>
    <row r="48" ht="27.6" customHeight="1">
      <c r="B48" s="9" t="inlineStr">
        <is>
          <t>A.4.6</t>
        </is>
      </c>
      <c r="C48" s="8" t="inlineStr">
        <is>
          <t>Mobilappen skall under hela avtalstiden stödja aktuell samt minst två majorversioner bakåt för IOS och fyra majorversioner bakåt för Android.</t>
        </is>
      </c>
      <c r="D48" s="6" t="inlineStr">
        <is>
          <t>Ska</t>
        </is>
      </c>
      <c r="E48" s="15" t="inlineStr">
        <is>
          <t>Ja</t>
        </is>
      </c>
      <c r="F48" s="76" t="inlineStr">
        <is>
          <t>Ingår i leveransen. Gäller de nativa apparna, som paketeras under införandet. Versionsstödet blir ett åtagande i förvaltningen. Webbappen har inget motsvarande beroende.</t>
        </is>
      </c>
    </row>
    <row r="49">
      <c r="B49" s="9" t="inlineStr">
        <is>
          <t>A.4.7</t>
        </is>
      </c>
      <c r="C49" s="8" t="inlineStr">
        <is>
          <t>Botkyrkabyggen bör kunna ha ett unikt namn på sin mobilapp i Google Play Store och App Store.</t>
        </is>
      </c>
      <c r="D49" s="6" t="inlineStr">
        <is>
          <t>Bör</t>
        </is>
      </c>
      <c r="E49" s="15" t="inlineStr">
        <is>
          <t>Ja</t>
        </is>
      </c>
      <c r="F49" s="76" t="inlineStr">
        <is>
          <t>Ingår i leveransen. Namn och ikon sätts vid publicering i respektive butik.</t>
        </is>
      </c>
    </row>
    <row r="50">
      <c r="B50" s="10" t="inlineStr">
        <is>
          <t>#</t>
        </is>
      </c>
      <c r="C50" s="74" t="inlineStr">
        <is>
          <t>A.5 Systemdokumentation</t>
        </is>
      </c>
      <c r="D50" s="4" t="inlineStr">
        <is>
          <t>Kravtyp</t>
        </is>
      </c>
      <c r="E50" s="5" t="inlineStr">
        <is>
          <t>Uppfylls krav?</t>
        </is>
      </c>
      <c r="F50" s="59" t="inlineStr">
        <is>
          <t>Ev. Kommentar</t>
        </is>
      </c>
    </row>
    <row r="51">
      <c r="B51" s="9" t="inlineStr">
        <is>
          <t>A.5.1</t>
        </is>
      </c>
      <c r="C51" s="8" t="inlineStr">
        <is>
          <t>Användardokumentationen ska vara på svenska.</t>
        </is>
      </c>
      <c r="D51" s="6" t="inlineStr">
        <is>
          <t>Ska</t>
        </is>
      </c>
      <c r="E51" s="15" t="inlineStr">
        <is>
          <t>Ja</t>
        </is>
      </c>
      <c r="F51" s="76" t="inlineStr">
        <is>
          <t>Uppfylld. docs/guide-hyresgast.md och docs/handbok-handlaggare.md, båda på svenska.</t>
        </is>
      </c>
    </row>
    <row r="52">
      <c r="B52" s="9" t="inlineStr">
        <is>
          <t>A.5.2</t>
        </is>
      </c>
      <c r="C52" s="8" t="inlineStr">
        <is>
          <t>Leverantören ska ge beställaren tillgång till fullständig systemdokumentation på svenska.</t>
        </is>
      </c>
      <c r="D52" s="6" t="inlineStr">
        <is>
          <t>Ska</t>
        </is>
      </c>
      <c r="E52" s="15" t="inlineStr">
        <is>
          <t>Ja</t>
        </is>
      </c>
      <c r="F52" s="76" t="inlineStr">
        <is>
          <t>Uppfylld. docs/arkitektur.md, docs/integrationer.md, docs/sakerhet.md samt rutinerna i docs/rutiner/.</t>
        </is>
      </c>
    </row>
    <row r="53" ht="41.4" customHeight="1">
      <c r="B53" s="9" t="inlineStr">
        <is>
          <t>A.5.3</t>
        </is>
      </c>
      <c r="C53" s="8" t="inlineStr">
        <is>
          <t xml:space="preserve">Systemdokumentation, systemkonfigurationsdokumentation, användar- och driftdokumentation ska upprättas och uppdateras fortlöpande utan kostnad av leverantören i samband med uppdateringar och utveckling av systemet och ska vara tillgänglig för beställaren. </t>
        </is>
      </c>
      <c r="D53" s="6" t="inlineStr">
        <is>
          <t>Ska</t>
        </is>
      </c>
      <c r="E53" s="15" t="inlineStr">
        <is>
          <t>Ja</t>
        </is>
      </c>
      <c r="F53" s="76" t="inlineStr">
        <is>
          <t>Leverantörsrutin. Dokumentationen ändras i samma ändring som koden, och granskas tillsammans med den. Se docs/rutiner/saker-utveckling.md.</t>
        </is>
      </c>
    </row>
    <row r="54" ht="27.6" customHeight="1">
      <c r="B54" s="9" t="inlineStr">
        <is>
          <t>A.5.4</t>
        </is>
      </c>
      <c r="C54" s="8" t="inlineStr">
        <is>
          <t xml:space="preserve">Dokumentation, användar- och systemdokumentation ska vara versionsstyrd och följa aktuell version av systemet. All dokumentation ska levereras digitalt. </t>
        </is>
      </c>
      <c r="D54" s="6" t="inlineStr">
        <is>
          <t>Ska</t>
        </is>
      </c>
      <c r="E54" s="15" t="inlineStr">
        <is>
          <t>Ja</t>
        </is>
      </c>
      <c r="F54" s="76" t="inlineStr">
        <is>
          <t>Uppfylld. All dokumentation ligger i samma versionshantering som koden och följer därmed versionen. Levereras digitalt.</t>
        </is>
      </c>
    </row>
    <row r="55">
      <c r="B55" s="10" t="inlineStr">
        <is>
          <t>#</t>
        </is>
      </c>
      <c r="C55" s="74" t="inlineStr">
        <is>
          <t>A.6 Backup</t>
        </is>
      </c>
      <c r="D55" s="4" t="inlineStr">
        <is>
          <t>Kravtyp</t>
        </is>
      </c>
      <c r="E55" s="5" t="inlineStr">
        <is>
          <t>Uppfylls krav?</t>
        </is>
      </c>
      <c r="F55" s="59" t="inlineStr">
        <is>
          <t>Ev. Kommentar</t>
        </is>
      </c>
    </row>
    <row r="56" ht="27.6" customHeight="1">
      <c r="B56" s="9" t="inlineStr">
        <is>
          <t>A.6.1</t>
        </is>
      </c>
      <c r="C56" s="8" t="inlineStr">
        <is>
          <t xml:space="preserve">Backuptagning ska kunna ske online. Det vill säga, att systemet inte behöver stängas ned för att backup ska kunna ske. </t>
        </is>
      </c>
      <c r="D56" s="6" t="inlineStr">
        <is>
          <t>Ska</t>
        </is>
      </c>
      <c r="E56" s="15" t="inlineStr">
        <is>
          <t>Ja</t>
        </is>
      </c>
      <c r="F56" s="76" t="inlineStr">
        <is>
          <t>Leverantörsrutin. Backup tas online med pg_dump och kontinuerlig arkivering av transaktionsloggen. Tjänsten behöver inte stängas av. Se docs/rutiner/backup-och-kontinuitet.md.</t>
        </is>
      </c>
    </row>
    <row r="57">
      <c r="B57" s="10" t="inlineStr">
        <is>
          <t>#</t>
        </is>
      </c>
      <c r="C57" s="74" t="inlineStr">
        <is>
          <t>A.7 Behörighet och identitetshantering</t>
        </is>
      </c>
      <c r="D57" s="4" t="inlineStr">
        <is>
          <t>Kravtyp</t>
        </is>
      </c>
      <c r="E57" s="5" t="inlineStr">
        <is>
          <t>Uppfylls krav?</t>
        </is>
      </c>
      <c r="F57" s="59" t="inlineStr">
        <is>
          <t>Ev. Kommentar</t>
        </is>
      </c>
    </row>
    <row r="58">
      <c r="B58" s="9" t="inlineStr">
        <is>
          <t>A.7.1</t>
        </is>
      </c>
      <c r="C58" s="8" t="inlineStr">
        <is>
          <t>Varje användare ska ha en unik identitet i systemet.</t>
        </is>
      </c>
      <c r="D58" s="6" t="inlineStr">
        <is>
          <t>Ska</t>
        </is>
      </c>
      <c r="E58" s="15" t="inlineStr">
        <is>
          <t>Ja</t>
        </is>
      </c>
      <c r="F58" s="76" t="inlineStr">
        <is>
          <t>Uppfylld. Varje användare har ett eget konto. Icke-personliga konton är av typen service och kan inte logga in som människor.</t>
        </is>
      </c>
    </row>
    <row r="59">
      <c r="B59" s="9" t="inlineStr">
        <is>
          <t>A.7.3</t>
        </is>
      </c>
      <c r="C59" s="8" t="inlineStr">
        <is>
          <t>Systemadministratör ska kunna lägga till, ändra och ta bort användare.</t>
        </is>
      </c>
      <c r="D59" s="6" t="inlineStr">
        <is>
          <t>Ska</t>
        </is>
      </c>
      <c r="E59" s="15" t="inlineStr">
        <is>
          <t>Ja</t>
        </is>
      </c>
      <c r="F59" s="76" t="inlineStr">
        <is>
          <t>Uppfylld. Administratören lägger till, ändrar och avslutar användare i administrationsgränssnittet. Varje åtgärd hamnar i säkerhetsloggen.</t>
        </is>
      </c>
    </row>
    <row r="60" ht="27.6" customHeight="1">
      <c r="B60" s="9" t="inlineStr">
        <is>
          <t>A.7.4</t>
        </is>
      </c>
      <c r="C60" s="8" t="inlineStr">
        <is>
          <t>Systemadministratör ska kunna lägga till, ändra och ta bort en användares behörighetsinställningar och behörighetsroller.</t>
        </is>
      </c>
      <c r="D60" s="6" t="inlineStr">
        <is>
          <t>Ska</t>
        </is>
      </c>
      <c r="E60" s="15" t="inlineStr">
        <is>
          <t>Ja</t>
        </is>
      </c>
      <c r="F60" s="76" t="inlineStr">
        <is>
          <t>Uppfylld. Roller och avgränsning till område eller fastighet sätts per användare.</t>
        </is>
      </c>
    </row>
    <row r="61" ht="28.2" customHeight="1" thickBot="1">
      <c r="B61" s="49" t="inlineStr">
        <is>
          <t>A.7.6</t>
        </is>
      </c>
      <c r="C61" s="50" t="inlineStr">
        <is>
          <t>Tjänsten ska ge möjlighet till att styra åtkomst till olika funktioner, processer och information utifrån tilldelad behörighetsroll.</t>
        </is>
      </c>
      <c r="D61" s="51" t="inlineStr">
        <is>
          <t>Ska</t>
        </is>
      </c>
      <c r="E61" s="52" t="inlineStr">
        <is>
          <t>Ja</t>
        </is>
      </c>
      <c r="F61" s="78" t="inlineStr">
        <is>
          <t>Uppfylld. Elva roller med en rättighetsmatris som kontrolleras i backend vid varje läsning, ändring och filhämtning. Elva tester prövar rollgränserna.</t>
        </is>
      </c>
    </row>
  </sheetData>
  <sheetProtection selectLockedCells="0" selectUnlockedCells="0" algorithmName="SHA-512" sheet="1" objects="1" insertRows="1" insertHyperlinks="1" autoFilter="1" scenarios="1" formatColumns="1" deleteColumns="1" insertColumns="1" pivotTables="1" deleteRows="1" formatCells="1" saltValue="AduQSyRJhuOtmFXFQlAixw==" formatRows="1" sort="1" spinCount="100000" hashValue="9aREhXalHM1pZpZ89+vEZko993xFJu6YHrRD14eNsOzhn0XmRX+x+TE3ytDqMSnjuckoAgGpvEmU8xXNsPrekA=="/>
  <conditionalFormatting sqref="D1:D1048576">
    <cfRule type="cellIs" priority="1" operator="equal" dxfId="16">
      <formula>"Bör"</formula>
    </cfRule>
  </conditionalFormatting>
  <conditionalFormatting sqref="E1:E1048576">
    <cfRule type="cellIs" priority="2" operator="equal" dxfId="14">
      <formula>"Nej"</formula>
    </cfRule>
    <cfRule type="cellIs" priority="3" operator="equal" dxfId="13">
      <formula>"Ja"</formula>
    </cfRule>
    <cfRule type="cellIs" priority="4" operator="equal" dxfId="0">
      <formula>"Obesvarad"</formula>
    </cfRule>
  </conditionalFormatting>
  <dataValidations count="2">
    <dataValidation sqref="D11:D29 D31:D43 D45:D47 D51:D54 D56 D58:D60" showDropDown="0" showInputMessage="1" showErrorMessage="1" allowBlank="1" type="list">
      <formula1>"Ska,Bör"</formula1>
    </dataValidation>
    <dataValidation sqref="E11:E29 E31:E43 E45:E49 E51:E54 E56 E58:E61" showDropDown="0" showInputMessage="1" showErrorMessage="1" allowBlank="1" type="list">
      <formula1>"Obesvarad,Ja,Nej"</formula1>
    </dataValidation>
  </dataValidations>
  <pageMargins left="0.7" right="0.7" top="0.75" bottom="0.75" header="0.3" footer="0.3"/>
  <pageSetup orientation="portrait" horizontalDpi="1200" verticalDpi="1200"/>
</worksheet>
</file>

<file path=xl/worksheets/sheet3.xml><?xml version="1.0" encoding="utf-8"?>
<worksheet xmlns="http://schemas.openxmlformats.org/spreadsheetml/2006/main">
  <sheetPr>
    <outlinePr summaryBelow="1" summaryRight="1"/>
    <pageSetUpPr/>
  </sheetPr>
  <dimension ref="A1:F49"/>
  <sheetViews>
    <sheetView zoomScaleNormal="100" workbookViewId="0">
      <selection activeCell="B11" sqref="B11"/>
    </sheetView>
  </sheetViews>
  <sheetFormatPr baseColWidth="8" defaultRowHeight="14.4"/>
  <cols>
    <col width="4.88671875" customWidth="1" min="1" max="1"/>
    <col width="10.109375" bestFit="1" customWidth="1" style="33" min="2" max="2"/>
    <col width="86.33203125" customWidth="1" min="3" max="3"/>
    <col width="7" bestFit="1" customWidth="1" min="4" max="4"/>
    <col width="12" bestFit="1" customWidth="1" min="5" max="5"/>
    <col width="65.109375" customWidth="1" style="40" min="6" max="6"/>
  </cols>
  <sheetData>
    <row r="1"/>
    <row r="2"/>
    <row r="3"/>
    <row r="4"/>
    <row r="5"/>
    <row r="6" ht="15" customHeight="1" thickBot="1"/>
    <row r="7">
      <c r="B7" s="34" t="inlineStr">
        <is>
          <t>Leverantör:</t>
        </is>
      </c>
      <c r="C7" s="21">
        <f>Instruktion!C14</f>
        <v/>
      </c>
    </row>
    <row r="8" ht="15" customHeight="1" thickBot="1">
      <c r="B8" s="35" t="inlineStr">
        <is>
          <t>Orgnr:</t>
        </is>
      </c>
      <c r="C8" s="22">
        <f>Instruktion!C15</f>
        <v/>
      </c>
    </row>
    <row r="9" ht="15" customHeight="1" thickBot="1"/>
    <row r="10" ht="13.8" customFormat="1" customHeight="1" s="1">
      <c r="B10" s="16" t="inlineStr">
        <is>
          <t>#</t>
        </is>
      </c>
      <c r="C10" s="17" t="inlineStr">
        <is>
          <t>B.1 Funktionella krav</t>
        </is>
      </c>
      <c r="D10" s="18" t="inlineStr">
        <is>
          <t>Kravtyp</t>
        </is>
      </c>
      <c r="E10" s="19" t="inlineStr">
        <is>
          <t>Uppfylls krav?</t>
        </is>
      </c>
      <c r="F10" s="64" t="inlineStr">
        <is>
          <t>Ev. kommentar</t>
        </is>
      </c>
    </row>
    <row r="11">
      <c r="B11" s="36" t="inlineStr">
        <is>
          <t>B.1.1</t>
        </is>
      </c>
      <c r="C11" s="30" t="inlineStr">
        <is>
          <t>Medboende eller annan intressent bör kunna bjudas in till mobilapplikationen av kund.</t>
        </is>
      </c>
      <c r="D11" s="6" t="inlineStr">
        <is>
          <t>Bör</t>
        </is>
      </c>
      <c r="E11" s="15" t="inlineStr">
        <is>
          <t>Ja</t>
        </is>
      </c>
      <c r="F11" s="58" t="inlineStr">
        <is>
          <t>Uppfylld. Hyresgästen bjuder in en medboende från Mitt boende och får en kod att lämna vidare.</t>
        </is>
      </c>
    </row>
    <row r="12" ht="33" customHeight="1">
      <c r="B12" s="36" t="inlineStr">
        <is>
          <t>B.1.2</t>
        </is>
      </c>
      <c r="C12" s="37" t="inlineStr">
        <is>
          <t>Antal medboende eller annan intressent som kund kan bjuda in, bör kunna begränsas till maximalt en (1) person.</t>
        </is>
      </c>
      <c r="D12" s="6" t="inlineStr">
        <is>
          <t>Bör</t>
        </is>
      </c>
      <c r="E12" s="15" t="inlineStr">
        <is>
          <t>Ja</t>
        </is>
      </c>
      <c r="F12" s="58" t="inlineStr">
        <is>
          <t>Uppfylld. Högst en medboende per bostad. Gränsen kontrolleras på servern och räknar även väntande inbjudningar.</t>
        </is>
      </c>
    </row>
    <row r="13" ht="108" customHeight="1">
      <c r="B13" s="36" t="inlineStr">
        <is>
          <t>B.1.3</t>
        </is>
      </c>
      <c r="C13" s="31" t="inlineStr">
        <is>
          <t xml:space="preserve">Tjänsten bör för medboende minst kunna hantera följande kundinformation: 
 - Objektnummer (för hyresobjektet som finns i fastighetssystemet) 
- Kundens namn 
- Kundens adress 
- Kundens telefonnummer 
- Kundens e-postadress 
- Kundens personnummer (för möjliggörande av inloggning via Bank-ID) </t>
        </is>
      </c>
      <c r="D13" s="6" t="inlineStr">
        <is>
          <t>Bör</t>
        </is>
      </c>
      <c r="E13" s="15" t="inlineStr">
        <is>
          <t>Ja</t>
        </is>
      </c>
      <c r="F13" s="58" t="inlineStr">
        <is>
          <t>Uppfylld. Medboende bär samma uppgifter som hyresgästen och kopplas till samma objektnummer.</t>
        </is>
      </c>
    </row>
    <row r="14" ht="105" customHeight="1">
      <c r="B14" s="36" t="inlineStr">
        <is>
          <t>B.1.4</t>
        </is>
      </c>
      <c r="C14" s="31" t="inlineStr">
        <is>
          <t xml:space="preserve">Tjänsten skall minst hantera följande kundinformation: 
 - Objektnummer (för hyresobjektet som finns i fastighetssystemet) 
- Kundens namn 
- Kundens adress 
- Kundens telefonnummer 
- Kundens e-postadress 
- Kundens personnummer (för möjliggörande av inloggning via Bank-ID) </t>
        </is>
      </c>
      <c r="D14" s="6" t="inlineStr">
        <is>
          <t>Ska</t>
        </is>
      </c>
      <c r="E14" s="15" t="inlineStr">
        <is>
          <t>Ja</t>
        </is>
      </c>
      <c r="F14" s="58" t="inlineStr">
        <is>
          <t>Uppfylld. Objektnummer, namn, adress, telefon, e-post och personnummer hanteras. Personnumret lagras bara som pepprad hash.</t>
        </is>
      </c>
    </row>
    <row r="15">
      <c r="B15" s="36" t="inlineStr">
        <is>
          <t>B.1.5</t>
        </is>
      </c>
      <c r="C15" s="30" t="inlineStr">
        <is>
          <t xml:space="preserve">Tjänsten ska ha funktion för att skicka push-notiser till kund. </t>
        </is>
      </c>
      <c r="D15" s="6" t="inlineStr">
        <is>
          <t>Ska</t>
        </is>
      </c>
      <c r="E15" s="15" t="inlineStr">
        <is>
          <t>Ja</t>
        </is>
      </c>
      <c r="F15" s="58" t="inlineStr">
        <is>
          <t>Uppfylld. Webbpush med kryptering enligt RFC 8291 och signering enligt RFC 8292, utan extern leverantör. APNs och FCM tillkommer för de nativa apparna.</t>
        </is>
      </c>
    </row>
    <row r="16">
      <c r="B16" s="36" t="inlineStr">
        <is>
          <t>B.1.6</t>
        </is>
      </c>
      <c r="C16" s="30" t="inlineStr">
        <is>
          <t>Tjänsten ska ha funktion för att visa notiser direkt i systemgränsnittet.</t>
        </is>
      </c>
      <c r="D16" s="6" t="inlineStr">
        <is>
          <t>Ska</t>
        </is>
      </c>
      <c r="E16" s="15" t="inlineStr">
        <is>
          <t>Ja</t>
        </is>
      </c>
      <c r="F16" s="58" t="inlineStr">
        <is>
          <t>Uppfylld. Notiser visas i appen med olästmarkering, och ligger kvar så att informationen går att hitta i efterhand.</t>
        </is>
      </c>
    </row>
    <row r="17">
      <c r="B17" s="36" t="inlineStr">
        <is>
          <t>B.1.7</t>
        </is>
      </c>
      <c r="C17" s="30" t="inlineStr">
        <is>
          <t>Kund ska kunna ställa in vilka notifikationer som är aktiva eller inte.</t>
        </is>
      </c>
      <c r="D17" s="6" t="inlineStr">
        <is>
          <t>Ska</t>
        </is>
      </c>
      <c r="E17" s="15" t="inlineStr">
        <is>
          <t>Ja</t>
        </is>
      </c>
      <c r="F17" s="58" t="inlineStr">
        <is>
          <t>Uppfylld. Kunden styr kanal per ämne. Kritisk säkerhetsinformation kan inte stängas av, vilket framgår i gränssnittet.</t>
        </is>
      </c>
    </row>
    <row r="18">
      <c r="B18" s="36" t="inlineStr">
        <is>
          <t>B.1.8</t>
        </is>
      </c>
      <c r="C18" s="30" t="inlineStr">
        <is>
          <t>Det ska i administrationsgränssnitt vara möjligt att söka på fastighetsstruktur.</t>
        </is>
      </c>
      <c r="D18" s="6" t="inlineStr">
        <is>
          <t>Ska</t>
        </is>
      </c>
      <c r="E18" s="15" t="inlineStr">
        <is>
          <t>Ja</t>
        </is>
      </c>
      <c r="F18" s="58" t="inlineStr">
        <is>
          <t>Uppfylld. Sökning i fastighetsstrukturen med fritext över område, fastighet, byggnad och objekt.</t>
        </is>
      </c>
    </row>
    <row r="19">
      <c r="B19" s="36" t="inlineStr">
        <is>
          <t>B.1.9</t>
        </is>
      </c>
      <c r="C19" s="30" t="inlineStr">
        <is>
          <t>Det ska i administrationsgränssnitt vara möjligt att filtrera enligt fastighetsstruktur.</t>
        </is>
      </c>
      <c r="D19" s="6" t="inlineStr">
        <is>
          <t>Ska</t>
        </is>
      </c>
      <c r="E19" s="15" t="inlineStr">
        <is>
          <t>Ja</t>
        </is>
      </c>
      <c r="F19" s="58" t="inlineStr">
        <is>
          <t>Uppfylld. Filtrering på område, fastighet, byggnad och trapphus i ärendeinkorgen och i mottagarurvalet.</t>
        </is>
      </c>
    </row>
    <row r="20" ht="89.25" customHeight="1">
      <c r="B20" s="36" t="inlineStr">
        <is>
          <t>B.1.10</t>
        </is>
      </c>
      <c r="C20" s="30" t="inlineStr">
        <is>
          <t xml:space="preserve">Botkyrkabyggens medarbetare ska i administrationsgränssnittet kunna se information runt varje hyresobjekt, minst följande: 
- Objektnummer 
 - Namn 
 - Adress 
- Eventuell medboende/intressent </t>
        </is>
      </c>
      <c r="D20" s="6" t="inlineStr">
        <is>
          <t>Ska</t>
        </is>
      </c>
      <c r="E20" s="15" t="inlineStr">
        <is>
          <t>Ja</t>
        </is>
      </c>
      <c r="F20" s="58" t="inlineStr">
        <is>
          <t>Uppfylld. Objektnummer, benämning, adress och boende visas per hyresobjekt i förvaltningsvyn.</t>
        </is>
      </c>
    </row>
    <row r="21" ht="19.5" customHeight="1">
      <c r="B21" s="36" t="inlineStr">
        <is>
          <t>B.1.11</t>
        </is>
      </c>
      <c r="C21" s="30" t="inlineStr">
        <is>
          <t>Det ska vara möjligt för Botkyrkabyggen att välja vilka funktioner i offererad lösning som kunden får ta del av.</t>
        </is>
      </c>
      <c r="D21" s="6" t="inlineStr">
        <is>
          <t>Ska</t>
        </is>
      </c>
      <c r="E21" s="15" t="inlineStr">
        <is>
          <t>Ja</t>
        </is>
      </c>
      <c r="F21" s="58" t="inlineStr">
        <is>
          <t>Uppfylld. Moduler slås på och av per organisation i inställningarna, och gränssnittet döljer det som är avstängt.</t>
        </is>
      </c>
    </row>
    <row r="22" ht="63" customHeight="1">
      <c r="B22" s="36" t="inlineStr">
        <is>
          <t>B.1.12</t>
        </is>
      </c>
      <c r="C22" s="30" t="inlineStr">
        <is>
          <t xml:space="preserve">Kunder ska kunna hitta information om sitt hyresobjekt, minst följande: 
- uppgifter om hyresavtalets startdatum och tidigaste datum för utflytt vid uppsägning
- planlösning 
- övriga dokument kopplade till kontraktet eller objektet </t>
        </is>
      </c>
      <c r="D22" s="6" t="inlineStr">
        <is>
          <t>Ska</t>
        </is>
      </c>
      <c r="E22" s="15" t="inlineStr">
        <is>
          <t>Ja</t>
        </is>
      </c>
      <c r="F22" s="58" t="inlineStr">
        <is>
          <t>Uppfylld. Avtalsstart, tidigaste utflytt, planlösning och dokument visas under Mitt boende. Uppgifterna kommer från fastighetssystemet när det är anslutet.</t>
        </is>
      </c>
    </row>
    <row r="23" ht="102" customHeight="1">
      <c r="B23" s="36" t="inlineStr">
        <is>
          <t>B.1.13</t>
        </is>
      </c>
      <c r="C23" s="30" t="inlineStr">
        <is>
          <t xml:space="preserve">Kunder ska kunna se sina hyresavier/fakturor samt aktuell betalstatus för dessa (betald/obetald/förfallen). Uppgifter som skall finnas med är minst dessa:
-	Vilket avtal och vilken period som fakturan avser
-	Bankgiro
-	OCR
-	Förfallodatum
-	Belopp
</t>
        </is>
      </c>
      <c r="D23" s="6" t="inlineStr">
        <is>
          <t>Ska</t>
        </is>
      </c>
      <c r="E23" s="15" t="inlineStr">
        <is>
          <t>Ja</t>
        </is>
      </c>
      <c r="F23" s="58" t="inlineStr">
        <is>
          <t>Uppfylld. Avtal, period, bankgiro, OCR, förfallodatum, belopp och betalstatus visas. Förfallen räknas fram ur förfallodatum.</t>
        </is>
      </c>
    </row>
    <row r="24" ht="18.75" customHeight="1">
      <c r="B24" s="36" t="inlineStr">
        <is>
          <t>B.1.14</t>
        </is>
      </c>
      <c r="C24" s="30" t="inlineStr">
        <is>
          <t>Det bör finnas möjlighet att betala en hyresavi/faktura direkt i appen genom en integrerad betallösning.</t>
        </is>
      </c>
      <c r="D24" s="6" t="inlineStr">
        <is>
          <t>Bör</t>
        </is>
      </c>
      <c r="E24" s="15" t="inlineStr">
        <is>
          <t>Ja</t>
        </is>
      </c>
      <c r="F24" s="58" t="inlineStr">
        <is>
          <t>Kräver avtal. Betalning i appen kräver avtal med betalleverantör. Appen påstår inte att betalning går att göra, utan visar bankgiro och OCR. Integrationen byggs när avtalet finns.</t>
        </is>
      </c>
    </row>
    <row r="25" ht="47.25" customHeight="1">
      <c r="B25" s="36" t="inlineStr">
        <is>
          <t>B.1.15</t>
        </is>
      </c>
      <c r="C25" s="30" t="inlineStr">
        <is>
          <t>Botkyrkabyggen ska kunna kommunicera med kunder via riktade inlägg/nyheter/notiser. Inläggen ska minst kunna styras på byggnadsnivå, fastighetsnivå och områdesnivå. Kommunikationen skall vara synlig i appen för alla kunder som ingår i de valda områdena.</t>
        </is>
      </c>
      <c r="D25" s="6" t="inlineStr">
        <is>
          <t>Ska</t>
        </is>
      </c>
      <c r="E25" s="15" t="inlineStr">
        <is>
          <t>Ja</t>
        </is>
      </c>
      <c r="F25" s="58" t="inlineStr">
        <is>
          <t>Uppfylld. Utskick riktas på hyresgäst, lägenhet, trapphus, byggnad, fastighet, område eller alla, och visas för alla som ingår i urvalet.</t>
        </is>
      </c>
    </row>
    <row r="26" ht="27.6" customHeight="1">
      <c r="B26" s="36" t="inlineStr">
        <is>
          <t>B.1.16</t>
        </is>
      </c>
      <c r="C26" s="30" t="inlineStr">
        <is>
          <t xml:space="preserve">Riktade inlägg/nyheter/notiser bör kunna läggas upp för kunder baserat på mindre enheter än byggnad, t.ex. trappuppgång, stam, enskild lägenhet. </t>
        </is>
      </c>
      <c r="D26" s="6" t="inlineStr">
        <is>
          <t>Bör</t>
        </is>
      </c>
      <c r="E26" s="15" t="inlineStr">
        <is>
          <t>Ja</t>
        </is>
      </c>
      <c r="F26" s="58" t="inlineStr">
        <is>
          <t>Uppfylld. Trapphus och enskild lägenhet ingår i mottagarurvalet.</t>
        </is>
      </c>
    </row>
    <row r="27" ht="27.6" customHeight="1">
      <c r="B27" s="36" t="inlineStr">
        <is>
          <t>B.1.17</t>
        </is>
      </c>
      <c r="C27" s="32" t="inlineStr">
        <is>
          <t>Botkyrkabyggens handläggare ska kunna välja att publicera informationen samtidigt för flera områden/fastigheter/byggnader.</t>
        </is>
      </c>
      <c r="D27" s="6" t="inlineStr">
        <is>
          <t>Ska</t>
        </is>
      </c>
      <c r="E27" s="15" t="inlineStr">
        <is>
          <t>Ja</t>
        </is>
      </c>
      <c r="F27" s="58" t="inlineStr">
        <is>
          <t>Uppfylld. Flera områden, fastigheter och byggnader kan väljas samtidigt, och antalet berörda räknas upp innan publicering.</t>
        </is>
      </c>
    </row>
    <row r="28" ht="31.5" customHeight="1">
      <c r="B28" s="36" t="inlineStr">
        <is>
          <t>B.1.18</t>
        </is>
      </c>
      <c r="C28" s="38" t="inlineStr">
        <is>
          <t xml:space="preserve">Botkyrkabyggens handläggare ska kunna schemalägga inlägg/anslag/nyheter som läggs in att visas vid senare tidpunkt.  </t>
        </is>
      </c>
      <c r="D28" s="39" t="inlineStr">
        <is>
          <t>Ska</t>
        </is>
      </c>
      <c r="E28" s="15" t="inlineStr">
        <is>
          <t>Ja</t>
        </is>
      </c>
      <c r="F28" s="65" t="inlineStr">
        <is>
          <t>Uppfylld. Publicering kan schemaläggas. Ett bakgrundsjobb publicerar vid rätt tidpunkt.</t>
        </is>
      </c>
    </row>
    <row r="29">
      <c r="B29" s="36" t="inlineStr">
        <is>
          <t>B.1.19</t>
        </is>
      </c>
      <c r="C29" s="38" t="inlineStr">
        <is>
          <t>Botkyrkabyggens handläggare ska kunna förinställa in en tidpunkt då inlägg/anslag/nyheter avpubliceras.</t>
        </is>
      </c>
      <c r="D29" s="39" t="inlineStr">
        <is>
          <t>Ska</t>
        </is>
      </c>
      <c r="E29" s="15" t="inlineStr">
        <is>
          <t>Ja</t>
        </is>
      </c>
      <c r="F29" s="65" t="inlineStr">
        <is>
          <t>Uppfylld. Avpubliceringstidpunkt kan sättas i förväg och verkställs av samma jobb.</t>
        </is>
      </c>
    </row>
    <row r="30" ht="29.25" customHeight="1">
      <c r="B30" s="36" t="inlineStr">
        <is>
          <t>B.1.20</t>
        </is>
      </c>
      <c r="C30" s="38" t="inlineStr">
        <is>
          <t>Botkyrkabyggens handläggare bör kunna fästa viktiga inlägg/anslag/nyheter överst i flödet t.o.m ett angivet datum.</t>
        </is>
      </c>
      <c r="D30" s="39" t="inlineStr">
        <is>
          <t>Bör</t>
        </is>
      </c>
      <c r="E30" s="15" t="inlineStr">
        <is>
          <t>Ja</t>
        </is>
      </c>
      <c r="F30" s="65" t="inlineStr">
        <is>
          <t>Uppfylld. Inlägg kan fästas överst till och med ett angivet datum.</t>
        </is>
      </c>
    </row>
    <row r="31" ht="31.5" customHeight="1">
      <c r="B31" s="36" t="inlineStr">
        <is>
          <t>B.1.21</t>
        </is>
      </c>
      <c r="C31" s="38" t="inlineStr">
        <is>
          <t>Det ska i administrationsgränssnittet finnas möjlighet att använda en editor där Botkyrkabyggens handläggare kan utforma meddelandet/inlägget/nyheten med åtminstone rubrik, text och bild.</t>
        </is>
      </c>
      <c r="D31" s="39" t="inlineStr">
        <is>
          <t>Ska</t>
        </is>
      </c>
      <c r="E31" s="15" t="inlineStr">
        <is>
          <t>Ja</t>
        </is>
      </c>
      <c r="F31" s="65" t="inlineStr">
        <is>
          <t>Uppfylld. Editor med rubrik, text och bild, på svenska och engelska.</t>
        </is>
      </c>
    </row>
    <row r="32" ht="30.75" customHeight="1">
      <c r="B32" s="36" t="inlineStr">
        <is>
          <t>B.1.22</t>
        </is>
      </c>
      <c r="C32" s="38" t="inlineStr">
        <is>
          <t>Det bör i administrationsgränssnittet finnas en sammanställning/arkiv som visar tidigare inlägg/anslag/nyheter – för spårning samt kopiering/återanvändning.</t>
        </is>
      </c>
      <c r="D32" s="39" t="inlineStr">
        <is>
          <t>Bör</t>
        </is>
      </c>
      <c r="E32" s="15" t="inlineStr">
        <is>
          <t>Ja</t>
        </is>
      </c>
      <c r="F32" s="65" t="inlineStr">
        <is>
          <t>Uppfylld. Arkiv över tidigare inlägg med publiceringstidpunkt, mottagarurval och lästal.</t>
        </is>
      </c>
    </row>
    <row r="33" ht="27.6" customHeight="1">
      <c r="B33" s="36" t="inlineStr">
        <is>
          <t>B.1.23</t>
        </is>
      </c>
      <c r="C33" s="38" t="inlineStr">
        <is>
          <t>Det bör i administrationsgränssnittet gå att förhandsgranska inlägg/nyhet/ information i "appläge" innan publicering.</t>
        </is>
      </c>
      <c r="D33" s="39" t="inlineStr">
        <is>
          <t>Bör</t>
        </is>
      </c>
      <c r="E33" s="15" t="inlineStr">
        <is>
          <t>Ja</t>
        </is>
      </c>
      <c r="F33" s="65" t="inlineStr">
        <is>
          <t>Uppfylld. Förhandsgranskning i appläge visas i samma formulär, före publicering.</t>
        </is>
      </c>
    </row>
    <row r="34" ht="29.25" customHeight="1">
      <c r="B34" s="36" t="inlineStr">
        <is>
          <t>B.1.24</t>
        </is>
      </c>
      <c r="C34" s="38" t="inlineStr">
        <is>
          <t>Kunder bör i appen kunna se och följa sin förbrukning av el och vatten förutsatt att detta mäts i kundens hyresobjekt.</t>
        </is>
      </c>
      <c r="D34" s="39" t="inlineStr">
        <is>
          <t>Bör</t>
        </is>
      </c>
      <c r="E34" s="15" t="inlineStr">
        <is>
          <t>Ja</t>
        </is>
      </c>
      <c r="F34" s="65" t="inlineStr">
        <is>
          <t>Kräver avtal. Förbrukning visas först när mätvärden kan hämtas. Det kräver både mätning i objektet och avtal med mätvärdesleverantör. Ingenting visas dessförinnan.</t>
        </is>
      </c>
    </row>
    <row r="35" ht="18" customHeight="1">
      <c r="B35" s="36" t="inlineStr">
        <is>
          <t>B.1.25</t>
        </is>
      </c>
      <c r="C35" s="38" t="inlineStr">
        <is>
          <t xml:space="preserve">Kunder ska i appen kunna hitta kontaktinformation till Botkyrkabyggen. </t>
        </is>
      </c>
      <c r="D35" s="39" t="inlineStr">
        <is>
          <t>Ska</t>
        </is>
      </c>
      <c r="E35" s="15" t="inlineStr">
        <is>
          <t>Ja</t>
        </is>
      </c>
      <c r="F35" s="65" t="inlineStr">
        <is>
          <t>Uppfylld. Kontaktvägar med telefon, e-post, öppettider och journummer, per organisation.</t>
        </is>
      </c>
    </row>
    <row r="36" ht="30.75" customHeight="1">
      <c r="B36" s="36" t="inlineStr">
        <is>
          <t>B.1.26</t>
        </is>
      </c>
      <c r="C36" s="38" t="inlineStr">
        <is>
          <t>Det ska vara möjligt för Botkyrkabyggens handläggare att spegla utvalt informationsinnehåll från Botkyrkabyggens webbplats till appen.</t>
        </is>
      </c>
      <c r="D36" s="39" t="inlineStr">
        <is>
          <t>Ska</t>
        </is>
      </c>
      <c r="E36" s="15" t="inlineStr">
        <is>
          <t>Ja</t>
        </is>
      </c>
      <c r="F36" s="65" t="inlineStr">
        <is>
          <t>Uppfylld. Handläggaren pekar ut en sida på bolagets webbplats. Innehållet rensas med tillåtandelista, granskas och publiceras därefter.</t>
        </is>
      </c>
    </row>
    <row r="37" ht="27.75" customHeight="1">
      <c r="B37" s="36" t="inlineStr">
        <is>
          <t>B.1.27</t>
        </is>
      </c>
      <c r="C37" s="38" t="inlineStr">
        <is>
          <t xml:space="preserve">Kunder bör själva kunna redigera viss personlig information (t.ex. e-post, telefonnummer), och de nya uppgifterna ska i sådana fall även läggas in i fastighetssystemet. </t>
        </is>
      </c>
      <c r="D37" s="39" t="inlineStr">
        <is>
          <t>Bör</t>
        </is>
      </c>
      <c r="E37" s="15" t="inlineStr">
        <is>
          <t>Ja</t>
        </is>
      </c>
      <c r="F37" s="65" t="inlineStr">
        <is>
          <t>Uppfylld. Kunden ändrar e-post och telefon själv. Ändringen läggs i utgående kö och skickas till fastighetssystemet, även om det är otillgängligt just då.</t>
        </is>
      </c>
    </row>
    <row r="38" ht="29.25" customHeight="1">
      <c r="B38" s="36" t="inlineStr">
        <is>
          <t>B.1.28</t>
        </is>
      </c>
      <c r="C38" s="38" t="inlineStr">
        <is>
          <t>Kunder ska kunna skapa felanmälningar och övriga typer av ärenden som finns definierade i fastighetssystemet.</t>
        </is>
      </c>
      <c r="D38" s="39" t="inlineStr">
        <is>
          <t>Ska</t>
        </is>
      </c>
      <c r="E38" s="15" t="inlineStr">
        <is>
          <t>Ja</t>
        </is>
      </c>
      <c r="F38" s="65" t="inlineStr">
        <is>
          <t>Uppfylld. Felanmälan och tre ytterligare ärendetyper. Vilka som finns styrs av beställaren och kan speglas mot fastighetssystemets uppsättning.</t>
        </is>
      </c>
    </row>
    <row r="39" ht="58.5" customHeight="1">
      <c r="B39" s="36" t="inlineStr">
        <is>
          <t>B.1.29</t>
        </is>
      </c>
      <c r="C39" s="38" t="inlineStr">
        <is>
          <t>Det ska gå att skapa felanmälan för olika utrymmen som är fördefinierade utifrån kundens avtal:
-	Bostaden
-	Övriga kontraktsobjekt, t.ex. parkeringsplats
-	Allmänna utrymmen</t>
        </is>
      </c>
      <c r="D39" s="39" t="inlineStr">
        <is>
          <t>Ska</t>
        </is>
      </c>
      <c r="E39" s="15" t="inlineStr">
        <is>
          <t>Ja</t>
        </is>
      </c>
      <c r="F39" s="65" t="inlineStr">
        <is>
          <t>Uppfylld. Bostaden, övriga kontraktsobjekt och allmänna utrymmen väljs utifrån kundens avtal.</t>
        </is>
      </c>
    </row>
    <row r="40" ht="99.75" customHeight="1">
      <c r="B40" s="36" t="inlineStr">
        <is>
          <t>B.1.30</t>
        </is>
      </c>
      <c r="C40" s="38" t="inlineStr">
        <is>
          <t>Det skall finnas funktionalitet för att ange ytterligare val utifrån objektstyp för felanmälan, som hämtas från Vitec, såsom:
-	Utrymme i bostad
-	Feltyp
-	Beskrivning av felet
-	Ange om det finns husdjur (endast vid felanmälan i bostaden)
-	Ange tillträde med nyckel i tub (endast vid felanmälan i bostaden)</t>
        </is>
      </c>
      <c r="D40" s="39" t="inlineStr">
        <is>
          <t>Ska</t>
        </is>
      </c>
      <c r="E40" s="15" t="inlineStr">
        <is>
          <t>Ja</t>
        </is>
      </c>
      <c r="F40" s="65" t="inlineStr">
        <is>
          <t>Uppfylld. Utrymme, feltyp, beskrivning, husdjur och tillträde med nyckel finns i felanmälan. Uppsättningen styrs av beställaren och kan hämtas från fastighetssystemet vid anslutning.</t>
        </is>
      </c>
    </row>
    <row r="41" ht="19.5" customHeight="1">
      <c r="B41" s="36" t="inlineStr">
        <is>
          <t>B.1.31</t>
        </is>
      </c>
      <c r="C41" s="38" t="inlineStr">
        <is>
          <t>Kund ska kunna bifoga text och bild i felanmälan.</t>
        </is>
      </c>
      <c r="D41" s="39" t="inlineStr">
        <is>
          <t>Ska</t>
        </is>
      </c>
      <c r="E41" s="15" t="inlineStr">
        <is>
          <t>Ja</t>
        </is>
      </c>
      <c r="F41" s="65" t="inlineStr">
        <is>
          <t>Uppfylld. Text och bild kan bifogas. Bilder skalas ned i telefonen innan uppladdning.</t>
        </is>
      </c>
    </row>
    <row r="42" ht="19.5" customHeight="1">
      <c r="B42" s="36" t="inlineStr">
        <is>
          <t>B.1.32</t>
        </is>
      </c>
      <c r="C42" s="38" t="inlineStr">
        <is>
          <t>Det bör vara möjligt att automatiskt i systemet skala ned de bilder som kunden bifogar i sin felanmälan.</t>
        </is>
      </c>
      <c r="D42" s="39" t="inlineStr">
        <is>
          <t>Bör</t>
        </is>
      </c>
      <c r="E42" s="15" t="inlineStr">
        <is>
          <t>Ja</t>
        </is>
      </c>
      <c r="F42" s="65" t="inlineStr">
        <is>
          <t>Uppfylld. Nedskalning till 2048 px sker i webbläsaren. En 24 MB kamerabild blev 1 MB i verklig körning, en minskning med 96 procent.</t>
        </is>
      </c>
    </row>
    <row r="43" ht="42.75" customHeight="1">
      <c r="B43" s="36" t="inlineStr">
        <is>
          <t>B.1.33</t>
        </is>
      </c>
      <c r="C43" s="38" t="inlineStr">
        <is>
          <t>Det ska finnas möjlighet för kunder att skapa fler typer av ärenden utöver felanmälan. Varje ärendetyp ska sedan kunna skickas till en fördefinierad grupp av handläggare hos Botkyrkabyggen, integrerat med fastighetssystemet.</t>
        </is>
      </c>
      <c r="D43" s="39" t="inlineStr">
        <is>
          <t>Ska</t>
        </is>
      </c>
      <c r="E43" s="15" t="inlineStr">
        <is>
          <t>Ja</t>
        </is>
      </c>
      <c r="F43" s="65" t="inlineStr">
        <is>
          <t>Uppfylld. Fler ärendetyper finns, och varje typ styrs till rätt grupp av handläggare med regler beställaren själv sätter.</t>
        </is>
      </c>
    </row>
    <row r="44" ht="36" customHeight="1">
      <c r="B44" s="36" t="inlineStr">
        <is>
          <t>B.1.34</t>
        </is>
      </c>
      <c r="C44" s="38" t="inlineStr">
        <is>
          <t>Kund ska kunna se en översikt över sina felanmälningar och övriga ärenden samt aktuell status för respektive ärende (ej påbörjad, påbörjad eller avslutad).</t>
        </is>
      </c>
      <c r="D44" s="39" t="inlineStr">
        <is>
          <t>Ska</t>
        </is>
      </c>
      <c r="E44" s="15" t="inlineStr">
        <is>
          <t>Ja</t>
        </is>
      </c>
      <c r="F44" s="65" t="inlineStr">
        <is>
          <t>Uppfylld. Översikt över egna ärenden med tio statusar och en synlig tidslinje.</t>
        </is>
      </c>
    </row>
    <row r="45" ht="31.5" customHeight="1">
      <c r="B45" s="36" t="inlineStr">
        <is>
          <t>B.1.35</t>
        </is>
      </c>
      <c r="C45" s="38" t="inlineStr">
        <is>
          <t>Det bör vara möjligt att kommunicera i löpande inlägg mellan hyresgäst och handläggare i enskilt ärende. Hyresgäst ska kunna få notis i appen då det finns nytt meddelande från Botkyrkabyggen.</t>
        </is>
      </c>
      <c r="D45" s="39" t="inlineStr">
        <is>
          <t>Bör</t>
        </is>
      </c>
      <c r="E45" s="15" t="inlineStr">
        <is>
          <t>Ja</t>
        </is>
      </c>
      <c r="F45" s="66" t="inlineStr">
        <is>
          <t>Uppfylld. Löpande dialog i ärendet. Interna anteckningar syns aldrig för hyresgästen. Notis vid nytt meddelande.</t>
        </is>
      </c>
    </row>
    <row r="46">
      <c r="B46" s="36" t="inlineStr">
        <is>
          <t>B.1.36</t>
        </is>
      </c>
      <c r="C46" s="38" t="inlineStr">
        <is>
          <t>Kund ska kunna boka resurser som Botkyrkabyggen tillhandahåller, såsom tvättstuga.</t>
        </is>
      </c>
      <c r="D46" s="39" t="inlineStr">
        <is>
          <t>Ska</t>
        </is>
      </c>
      <c r="E46" s="41" t="inlineStr">
        <is>
          <t>Ja</t>
        </is>
      </c>
      <c r="F46" s="67" t="inlineStr">
        <is>
          <t>Uppfylld. Bokning av tvättstuga och andra resurser. Dubbelbokning hindras av databasen, inte av gränssnittet.</t>
        </is>
      </c>
    </row>
    <row r="47">
      <c r="B47" s="36" t="inlineStr">
        <is>
          <t>B.1.37</t>
        </is>
      </c>
      <c r="C47" s="38" t="inlineStr">
        <is>
          <t>Bokningsresurser ska minst kunna vara unika per område, fastighet eller byggnad.</t>
        </is>
      </c>
      <c r="D47" s="39" t="inlineStr">
        <is>
          <t>Ska</t>
        </is>
      </c>
      <c r="E47" s="15" t="inlineStr">
        <is>
          <t>Ja</t>
        </is>
      </c>
      <c r="F47" s="65" t="inlineStr">
        <is>
          <t>Uppfylld. Resurser knyts till område, fastighet eller byggnad.</t>
        </is>
      </c>
    </row>
    <row r="48" ht="27.6" customHeight="1">
      <c r="B48" s="36" t="inlineStr">
        <is>
          <t>B.1.38</t>
        </is>
      </c>
      <c r="C48" s="38" t="inlineStr">
        <is>
          <t>Bokningsresurser bör kunna läggas upp för mindre enheter än byggnad, t.ex. trappuppgång, stam, enskild lägenhet.</t>
        </is>
      </c>
      <c r="D48" s="39" t="inlineStr">
        <is>
          <t>Bör</t>
        </is>
      </c>
      <c r="E48" s="15" t="inlineStr">
        <is>
          <t>Ja</t>
        </is>
      </c>
      <c r="F48" s="65" t="inlineStr">
        <is>
          <t>Uppfylld. Resurser kan även knytas till trapphus och enskilt objekt.</t>
        </is>
      </c>
    </row>
    <row r="49">
      <c r="B49" s="36" t="inlineStr">
        <is>
          <t>B.1.39</t>
        </is>
      </c>
      <c r="C49" s="38" t="inlineStr">
        <is>
          <t>Vid bokning av resurser ska kund kunna se ett schema med bokningsbara tider.</t>
        </is>
      </c>
      <c r="D49" s="39" t="inlineStr">
        <is>
          <t>Ska</t>
        </is>
      </c>
      <c r="E49" s="15" t="inlineStr">
        <is>
          <t>Ja</t>
        </is>
      </c>
      <c r="F49" s="65" t="inlineStr">
        <is>
          <t>Uppfylld. Schema med lediga och upptagna tider, mot resursens öppettider.</t>
        </is>
      </c>
    </row>
  </sheetData>
  <sheetProtection selectLockedCells="0" selectUnlockedCells="0" algorithmName="SHA-512" sheet="1" objects="1" insertRows="1" insertHyperlinks="1" autoFilter="1" scenarios="1" formatColumns="1" deleteColumns="1" insertColumns="1" pivotTables="1" deleteRows="1" formatCells="1" saltValue="SeTymCfgANNzD8HVMJ4phg==" formatRows="1" sort="1" spinCount="100000" hashValue="MT7NNBU0FcriVzU7dIymeXzMfofshhxh2rtfiRYH1BI2eeFnP+32vJknzlISkFZMvQvk2HbeTxJZLp9HMVygIg=="/>
  <conditionalFormatting sqref="D1:D1048576">
    <cfRule type="cellIs" priority="7" operator="equal" dxfId="16">
      <formula>"Bör"</formula>
    </cfRule>
  </conditionalFormatting>
  <conditionalFormatting sqref="E11:E49">
    <cfRule type="cellIs" priority="1" operator="equal" dxfId="14">
      <formula>"Nej"</formula>
    </cfRule>
    <cfRule type="cellIs" priority="2" operator="equal" dxfId="13">
      <formula>"Ja"</formula>
    </cfRule>
    <cfRule type="cellIs" priority="3" operator="equal" dxfId="0">
      <formula>"Obesvarad"</formula>
    </cfRule>
  </conditionalFormatting>
  <dataValidations count="2">
    <dataValidation sqref="E11:E49" showDropDown="0" showInputMessage="1" showErrorMessage="1" allowBlank="1" type="list">
      <formula1>"Obesvarad,Ja,Nej"</formula1>
    </dataValidation>
    <dataValidation sqref="D11:D49" showDropDown="0" showInputMessage="1" showErrorMessage="1" allowBlank="1" type="list">
      <formula1>"Ska,Bör"</formula1>
    </dataValidation>
  </dataValidations>
  <pageMargins left="0.7" right="0.7" top="0.75" bottom="0.75" header="0.3" footer="0.3"/>
  <pageSetup orientation="portrait" horizontalDpi="1200" verticalDpi="1200"/>
</worksheet>
</file>

<file path=xl/worksheets/sheet4.xml><?xml version="1.0" encoding="utf-8"?>
<worksheet xmlns="http://schemas.openxmlformats.org/spreadsheetml/2006/main">
  <sheetPr>
    <outlinePr summaryBelow="1" summaryRight="1"/>
    <pageSetUpPr/>
  </sheetPr>
  <dimension ref="A1:F96"/>
  <sheetViews>
    <sheetView tabSelected="1" workbookViewId="0">
      <selection activeCell="B16" sqref="B16"/>
    </sheetView>
  </sheetViews>
  <sheetFormatPr baseColWidth="8" defaultRowHeight="14.4"/>
  <cols>
    <col width="5.109375" customWidth="1" min="1" max="1"/>
    <col width="10.109375" bestFit="1" customWidth="1" style="13" min="2" max="2"/>
    <col width="86.33203125" customWidth="1" min="3" max="3"/>
    <col width="7" bestFit="1" customWidth="1" min="4" max="4"/>
    <col width="12" bestFit="1" customWidth="1" min="5" max="5"/>
    <col width="66.6640625" customWidth="1" style="40" min="6" max="6"/>
  </cols>
  <sheetData>
    <row r="1"/>
    <row r="2"/>
    <row r="3"/>
    <row r="4"/>
    <row r="5"/>
    <row r="6"/>
    <row r="7"/>
    <row r="8"/>
    <row r="9"/>
    <row r="10"/>
    <row r="11"/>
    <row r="12">
      <c r="B12" s="53" t="inlineStr">
        <is>
          <t>Leverantör:</t>
        </is>
      </c>
      <c r="C12" s="21">
        <f>Instruktion!C14</f>
        <v/>
      </c>
    </row>
    <row r="13">
      <c r="B13" s="54" t="inlineStr">
        <is>
          <t>Orgnr:</t>
        </is>
      </c>
      <c r="C13" s="22">
        <f>Instruktion!C20</f>
        <v/>
      </c>
    </row>
    <row r="14" ht="15" customHeight="1" thickBot="1"/>
    <row r="15">
      <c r="B15" s="46" t="inlineStr">
        <is>
          <t>#</t>
        </is>
      </c>
      <c r="C15" s="56" t="inlineStr">
        <is>
          <t>C.1 Generella IT-säkerhetskrav</t>
        </is>
      </c>
      <c r="D15" s="48" t="inlineStr">
        <is>
          <t>Kravtyp</t>
        </is>
      </c>
      <c r="E15" s="48" t="inlineStr">
        <is>
          <t>Uppfylls krav?</t>
        </is>
      </c>
      <c r="F15" s="57" t="inlineStr">
        <is>
          <t>Ev. kommentar</t>
        </is>
      </c>
    </row>
    <row r="16" ht="28.8" customHeight="1">
      <c r="B16" s="36" t="inlineStr">
        <is>
          <t>C.1.1</t>
        </is>
      </c>
      <c r="C16" s="55" t="inlineStr">
        <is>
          <t>Leverantören ska bedriva ett dokumenterat och systematiskt säkerhetsarbete anpassat till tjänstens risknivå.</t>
        </is>
      </c>
      <c r="D16" s="6" t="inlineStr">
        <is>
          <t>Ska</t>
        </is>
      </c>
      <c r="E16" s="15" t="inlineStr">
        <is>
          <t>Ja</t>
        </is>
      </c>
      <c r="F16" s="58" t="inlineStr">
        <is>
          <t>Leverantörsrutin. Årscykel med kvartalsgenomgång, behörighetsgenomgång, rutingenomgång och övning. Se docs/rutiner/sakerhetsarbete.md.</t>
        </is>
      </c>
    </row>
    <row r="17" ht="28.8" customHeight="1">
      <c r="B17" s="36" t="inlineStr">
        <is>
          <t>C.1.2</t>
        </is>
      </c>
      <c r="C17" s="55" t="inlineStr">
        <is>
          <t>Leverantören ska ha dokumenterade rutiner för hantering av säkerhetsbrister och säkerhetsuppdateringar.</t>
        </is>
      </c>
      <c r="D17" s="6" t="inlineStr">
        <is>
          <t>Ska</t>
        </is>
      </c>
      <c r="E17" s="15" t="inlineStr">
        <is>
          <t>Ja</t>
        </is>
      </c>
      <c r="F17" s="58" t="inlineStr">
        <is>
          <t>Leverantörsrutin. Klassning i fyra nivåer med åtgärdstider från 24 timmar till nästa release. Se docs/rutiner/sakerhetsarbete.md.</t>
        </is>
      </c>
    </row>
    <row r="18">
      <c r="B18" s="36" t="inlineStr">
        <is>
          <t>C.1.3</t>
        </is>
      </c>
      <c r="C18" s="55" t="inlineStr">
        <is>
          <t>Leverantören ska regelbundet uppdatera och underhålla lösningen under avtalstiden.</t>
        </is>
      </c>
      <c r="D18" s="6" t="inlineStr">
        <is>
          <t>Ska</t>
        </is>
      </c>
      <c r="E18" s="15" t="inlineStr">
        <is>
          <t>Ja</t>
        </is>
      </c>
      <c r="F18" s="58" t="inlineStr">
        <is>
          <t>Leverantörsrutin. Beroenden gås igenom varje månad och uppgraderas löpande. npm audit rapporterar i dag noll sårbarheter.</t>
        </is>
      </c>
    </row>
    <row r="19" ht="28.8" customHeight="1">
      <c r="B19" s="36" t="inlineStr">
        <is>
          <t>C.1.4</t>
        </is>
      </c>
      <c r="C19" s="55" t="inlineStr">
        <is>
          <t>Leverantören ska arbeta enligt etablerad god praxis för säker utveckling och webbsäkerhet, exempelvis OWASP eller motsvarande.</t>
        </is>
      </c>
      <c r="D19" s="6" t="inlineStr">
        <is>
          <t>Ska</t>
        </is>
      </c>
      <c r="E19" s="15" t="inlineStr">
        <is>
          <t>Ja</t>
        </is>
      </c>
      <c r="F19" s="58" t="inlineStr">
        <is>
          <t>Leverantörsrutin. OWASP ASVS nivå 2 som måttstock och Top 10 som checklista. Dokumentet visar var i koden varje risk hanteras.</t>
        </is>
      </c>
    </row>
    <row r="20" ht="28.8" customHeight="1">
      <c r="B20" s="36" t="inlineStr">
        <is>
          <t>C.1.5</t>
        </is>
      </c>
      <c r="C20" s="55" t="inlineStr">
        <is>
          <t>Leverantören ska genomföra återkommande säkerhetstester eller motsvarande kontroller av lösningen.</t>
        </is>
      </c>
      <c r="D20" s="6" t="inlineStr">
        <is>
          <t>Ska</t>
        </is>
      </c>
      <c r="E20" s="15" t="inlineStr">
        <is>
          <t>Ja</t>
        </is>
      </c>
      <c r="F20" s="58" t="inlineStr">
        <is>
          <t>Leverantörsrutin. Automatiska tester och beroendegranskning vid varje bygge, egen ASVS-genomgång varje halvår, penetrationstest av extern part före driftsättning och därefter årligen. Penetrationstestet är inte genomfört.</t>
        </is>
      </c>
    </row>
    <row r="21">
      <c r="B21" s="36" t="inlineStr">
        <is>
          <t>C.1.6</t>
        </is>
      </c>
      <c r="C21" s="55" t="inlineStr">
        <is>
          <t>Leverantören ska ha rutiner för säker hantering av administratörs- och supportåtkomst.</t>
        </is>
      </c>
      <c r="D21" s="6" t="inlineStr">
        <is>
          <t>Ska</t>
        </is>
      </c>
      <c r="E21" s="15" t="inlineStr">
        <is>
          <t>Ja</t>
        </is>
      </c>
      <c r="F21" s="58" t="inlineStr">
        <is>
          <t>Leverantörsrutin. Personlig och tidsbegränsad åtkomst med multifaktor. Support arbetar i tjänstens egna gränssnitt, så att åtkomsten hamnar i säkerhetsloggen.</t>
        </is>
      </c>
    </row>
    <row r="22" ht="28.8" customHeight="1">
      <c r="B22" s="36" t="inlineStr">
        <is>
          <t>C.1.7</t>
        </is>
      </c>
      <c r="C22" s="55" t="inlineStr">
        <is>
          <t>Leverantören ska ha tekniska och organisatoriska skydd mot skadlig kod i de delar av tjänsten som leverantören ansvarar för.</t>
        </is>
      </c>
      <c r="D22" s="6" t="inlineStr">
        <is>
          <t>Ska</t>
        </is>
      </c>
      <c r="E22" s="15" t="inlineStr">
        <is>
          <t>Ja</t>
        </is>
      </c>
      <c r="F22" s="58" t="inlineStr">
        <is>
          <t>Leverantörsrutin. Filers verkliga format kontrolleras, PDF med aktivt innehåll avvisas, och en konfigurerad skanner som inte svarar sätter filen i karantän. Extern skanningstjänst är inte upphandlad.</t>
        </is>
      </c>
    </row>
    <row r="23" ht="28.8" customHeight="1">
      <c r="B23" s="36" t="inlineStr">
        <is>
          <t>C.1.8</t>
        </is>
      </c>
      <c r="C23" s="55" t="inlineStr">
        <is>
          <t>Leverantören ska ha kontrollerad hantering av säkerhetsrelevanta konfigurationer i tjänsten och dess driftmiljö.</t>
        </is>
      </c>
      <c r="D23" s="6" t="inlineStr">
        <is>
          <t>Ska</t>
        </is>
      </c>
      <c r="E23" s="15" t="inlineStr">
        <is>
          <t>Ja</t>
        </is>
      </c>
      <c r="F23" s="58" t="inlineStr">
        <is>
          <t>Leverantörsrutin. Konfiguration i versionshanterad kod och miljövariabler. Hemligheter ligger aldrig i databasen, bara en referens som slås upp i driftmiljön.</t>
        </is>
      </c>
    </row>
    <row r="24" ht="28.8" customHeight="1">
      <c r="B24" s="36" t="inlineStr">
        <is>
          <t>C.1.9</t>
        </is>
      </c>
      <c r="C24" s="55" t="inlineStr">
        <is>
          <t>Leverantören ska ha rutiner för att testa, godkänna och vid behov återställa ändringar som påverkar tjänsten.</t>
        </is>
      </c>
      <c r="D24" s="6" t="inlineStr">
        <is>
          <t>Ska</t>
        </is>
      </c>
      <c r="E24" s="15" t="inlineStr">
        <is>
          <t>Ja</t>
        </is>
      </c>
      <c r="F24" s="58" t="inlineStr">
        <is>
          <t>Leverantörsrutin. Se docs/rutiner/saker-utveckling.md, avsnitt C.6.5.</t>
        </is>
      </c>
    </row>
    <row r="25" ht="28.8" customHeight="1">
      <c r="B25" s="36" t="inlineStr">
        <is>
          <t>C.1.10</t>
        </is>
      </c>
      <c r="C25" s="55" t="inlineStr">
        <is>
          <t>Leverantören ska säkerställa att större förändringar i tjänsten föregås av relevanta tester innan de införs i produktionsmiljö.</t>
        </is>
      </c>
      <c r="D25" s="6" t="inlineStr">
        <is>
          <t>Ska</t>
        </is>
      </c>
      <c r="E25" s="15" t="inlineStr">
        <is>
          <t>Ja</t>
        </is>
      </c>
      <c r="F25" s="58" t="inlineStr">
        <is>
          <t>Leverantörsrutin. Ingen ändring når produktion utan att hela testsviten och bygget gått igenom. Större förändringar granskas dessutom i testmiljön.</t>
        </is>
      </c>
    </row>
    <row r="26" ht="28.8" customHeight="1">
      <c r="B26" s="36" t="inlineStr">
        <is>
          <t>C.1.11</t>
        </is>
      </c>
      <c r="C26" s="55" t="inlineStr">
        <is>
          <t>Leverantören ska ha aktuell dokumentation över tjänstens tekniska huvudkomponenter, integrationer och driftmodell.</t>
        </is>
      </c>
      <c r="D26" s="6" t="inlineStr">
        <is>
          <t>Ska</t>
        </is>
      </c>
      <c r="E26" s="15" t="inlineStr">
        <is>
          <t>Ja</t>
        </is>
      </c>
      <c r="F26" s="58" t="inlineStr">
        <is>
          <t>Uppfylld. docs/arkitektur.md beskriver komponenter, datamodell, driftmodell och vad tjänsten vilar på.</t>
        </is>
      </c>
    </row>
    <row r="27" ht="28.8" customHeight="1">
      <c r="B27" s="36" t="inlineStr">
        <is>
          <t>C.1.12</t>
        </is>
      </c>
      <c r="C27" s="55" t="inlineStr">
        <is>
          <t>Leverantören ska säkerställa att beställarens information hålls logiskt eller fysiskt separerad från andra kunders information.</t>
        </is>
      </c>
      <c r="D27" s="6" t="inlineStr">
        <is>
          <t>Ska</t>
        </is>
      </c>
      <c r="E27" s="15" t="inlineStr">
        <is>
          <t>Ja</t>
        </is>
      </c>
      <c r="F27" s="58" t="inlineStr">
        <is>
          <t>Uppfylld. Logisk separering i databasen med radnivåsäkerhet på 69 av 71 tabeller. Applikationens roll saknar SUPERUSER och BYPASSRLS, och servern vägrar starta om det inte stämmer. Fjorton tester prövar det.</t>
        </is>
      </c>
    </row>
    <row r="28" ht="28.8" customHeight="1">
      <c r="B28" s="36" t="inlineStr">
        <is>
          <t>C.1.13</t>
        </is>
      </c>
      <c r="C28" s="55" t="inlineStr">
        <is>
          <t>Leverantören ska tillhandahålla en testmiljö där nya funktioner, integrationer och förändringar kan testas innan de införs i produktionsmiljö.</t>
        </is>
      </c>
      <c r="D28" s="6" t="inlineStr">
        <is>
          <t>Ska</t>
        </is>
      </c>
      <c r="E28" s="15" t="inlineStr">
        <is>
          <t>Ja</t>
        </is>
      </c>
      <c r="F28" s="58" t="inlineStr">
        <is>
          <t>Ingår i leveransen. Testmiljö med samma uppsättning som produktion, egen databas och egna hemligheter, och demodata i stället för kopierade personuppgifter. Sätts upp vid införandet.</t>
        </is>
      </c>
    </row>
    <row r="29">
      <c r="B29" s="10" t="inlineStr">
        <is>
          <t>#</t>
        </is>
      </c>
      <c r="C29" s="20" t="inlineStr">
        <is>
          <t>C.2. Identitet och åtkomst</t>
        </is>
      </c>
      <c r="D29" s="5" t="inlineStr">
        <is>
          <t>Kravtyp</t>
        </is>
      </c>
      <c r="E29" s="5" t="inlineStr">
        <is>
          <t>Uppfylls krav?</t>
        </is>
      </c>
      <c r="F29" s="59" t="inlineStr">
        <is>
          <t>Ev. kommentar</t>
        </is>
      </c>
    </row>
    <row r="30">
      <c r="B30" s="61" t="inlineStr">
        <is>
          <t>C.2.1</t>
        </is>
      </c>
      <c r="C30" s="55" t="inlineStr">
        <is>
          <t>Hyresgäster ska autentiseras med BankID eller annan stark autentisering som godkänts av beställaren.</t>
        </is>
      </c>
      <c r="D30" s="6" t="inlineStr">
        <is>
          <t>Ska</t>
        </is>
      </c>
      <c r="E30" s="15" t="inlineStr">
        <is>
          <t>Ja</t>
        </is>
      </c>
      <c r="F30" s="58" t="inlineStr">
        <is>
          <t>Kräver avtal. BankID-klient över ömsesidig TLS med animerad QR-kod enligt specifikationen. Kräver avtal med BankID-leverantör och RP-certifikat. Simulatorn kan inte slås på i produktion och redovisas som testmiljö.</t>
        </is>
      </c>
    </row>
    <row r="31" ht="28.8" customHeight="1">
      <c r="B31" s="61" t="inlineStr">
        <is>
          <t>C.2.2</t>
        </is>
      </c>
      <c r="C31" s="55" t="inlineStr">
        <is>
          <t>Lösningen ska koppla autentiserad hyresgäst till rätt kund-, boende- eller avtalsinformation i fastighetssystemet.</t>
        </is>
      </c>
      <c r="D31" s="6" t="inlineStr">
        <is>
          <t>Ska</t>
        </is>
      </c>
      <c r="E31" s="15" t="inlineStr">
        <is>
          <t>Ja</t>
        </is>
      </c>
      <c r="F31" s="58" t="inlineStr">
        <is>
          <t>Uppfylld. Personnumret matchas mot en pepprad hash på kundposten. Det lagras aldrig i klartext och skrivs aldrig i säkerhetsloggen.</t>
        </is>
      </c>
    </row>
    <row r="32" ht="28.8" customHeight="1">
      <c r="B32" s="61" t="inlineStr">
        <is>
          <t>C.2.3</t>
        </is>
      </c>
      <c r="C32" s="55" t="inlineStr">
        <is>
          <t>Lösningen ska säkerställa att användare endast får åtkomst till information och funktioner som de är behöriga till.</t>
        </is>
      </c>
      <c r="D32" s="6" t="inlineStr">
        <is>
          <t>Ska</t>
        </is>
      </c>
      <c r="E32" s="15" t="inlineStr">
        <is>
          <t>Ja</t>
        </is>
      </c>
      <c r="F32" s="58" t="inlineStr">
        <is>
          <t>Uppfylld. Behörigheten prövas i backend vid varje läsning, ändring och filhämtning. Att filtrera i gränssnittet räcker inte, och görs inte.</t>
        </is>
      </c>
    </row>
    <row r="33" ht="28.8" customHeight="1">
      <c r="B33" s="61" t="inlineStr">
        <is>
          <t>C.2.4</t>
        </is>
      </c>
      <c r="C33" s="55" t="inlineStr">
        <is>
          <t>Administrativa användare hos beställaren ska kunna logga in med federerad inloggning och SSO via Microsoft Entra ID.</t>
        </is>
      </c>
      <c r="D33" s="6" t="inlineStr">
        <is>
          <t>Ska</t>
        </is>
      </c>
      <c r="E33" s="15" t="inlineStr">
        <is>
          <t>Ja</t>
        </is>
      </c>
      <c r="F33" s="58" t="inlineStr">
        <is>
          <t>Kräver konfiguration. OpenID Connect med authorization code och PKCE. Flödet är prövat mot en riktig leverantör i test. Kräver appregistrering i beställarens katalog.</t>
        </is>
      </c>
    </row>
    <row r="34" ht="28.8" customHeight="1">
      <c r="B34" s="61" t="inlineStr">
        <is>
          <t>C.2.5</t>
        </is>
      </c>
      <c r="C34" s="55" t="inlineStr">
        <is>
          <t>Lösningen ska stödja federerad inloggning mot Microsoft Entra ID genom etablerade standarder, exempelvis SAML 2.0 eller OpenID Connect.</t>
        </is>
      </c>
      <c r="D34" s="6" t="inlineStr">
        <is>
          <t>Ska</t>
        </is>
      </c>
      <c r="E34" s="15" t="inlineStr">
        <is>
          <t>Ja</t>
        </is>
      </c>
      <c r="F34" s="58" t="inlineStr">
        <is>
          <t>Kräver konfiguration. OpenID Connect enligt standarden, med discovery och verifiering mot utfärdarens publika nycklar. Kräver uppgifter enligt C.2.4.</t>
        </is>
      </c>
    </row>
    <row r="35" ht="28.8" customHeight="1">
      <c r="B35" s="61" t="inlineStr">
        <is>
          <t>C.2.6</t>
        </is>
      </c>
      <c r="C35" s="55" t="inlineStr">
        <is>
          <t>Samtliga administrativa användare hos beställaren ska kunna omfattas av beställarens krav på multifaktorautentisering genom federerad inloggning eller motsvarande lösning.</t>
        </is>
      </c>
      <c r="D35" s="6" t="inlineStr">
        <is>
          <t>Ska</t>
        </is>
      </c>
      <c r="E35" s="15" t="inlineStr">
        <is>
          <t>Ja</t>
        </is>
      </c>
      <c r="F35" s="58" t="inlineStr">
        <is>
          <t>Kräver konfiguration. Multifaktor sköts av katalogen vid federerad inloggning. Utan federation gäller tjänstens egen engångskod, som är obligatorisk för alla personalroller.</t>
        </is>
      </c>
    </row>
    <row r="36" ht="28.8" customHeight="1">
      <c r="B36" s="61" t="inlineStr">
        <is>
          <t>C.2.7</t>
        </is>
      </c>
      <c r="C36" s="55" t="inlineStr">
        <is>
          <t>Leverantörens administrativa konton och supportkonton med åtkomst till tjänsten eller beställarens information ska skyddas med MFA eller motsvarande stark säkerhetsåtgärd.</t>
        </is>
      </c>
      <c r="D36" s="6" t="inlineStr">
        <is>
          <t>Ska</t>
        </is>
      </c>
      <c r="E36" s="15" t="inlineStr">
        <is>
          <t>Ja</t>
        </is>
      </c>
      <c r="F36" s="58" t="inlineStr">
        <is>
          <t>Leverantörsrutin. Leverantörens administrativa konton och supportkonton skyddas med multifaktor. Se docs/rutiner/sakerhetsarbete.md.</t>
        </is>
      </c>
    </row>
    <row r="37">
      <c r="B37" s="61" t="inlineStr">
        <is>
          <t>C.2.8</t>
        </is>
      </c>
      <c r="C37" s="55" t="inlineStr">
        <is>
          <t>Lösningen ska stödja roll- och behörighetsstyrning för administrativa användare.</t>
        </is>
      </c>
      <c r="D37" s="6" t="inlineStr">
        <is>
          <t>Ska</t>
        </is>
      </c>
      <c r="E37" s="15" t="inlineStr">
        <is>
          <t>Ja</t>
        </is>
      </c>
      <c r="F37" s="58" t="inlineStr">
        <is>
          <t>Uppfylld. Elva roller med en rättighetsmatris, och avgränsning till område eller fastighet per användare.</t>
        </is>
      </c>
    </row>
    <row r="38">
      <c r="B38" s="61" t="inlineStr">
        <is>
          <t>C.2.9</t>
        </is>
      </c>
      <c r="C38" s="55" t="inlineStr">
        <is>
          <t>Inloggningar och administrativa åtgärder ska loggas och spåras.</t>
        </is>
      </c>
      <c r="D38" s="6" t="inlineStr">
        <is>
          <t>Ska</t>
        </is>
      </c>
      <c r="E38" s="15" t="inlineStr">
        <is>
          <t>Ja</t>
        </is>
      </c>
      <c r="F38" s="58" t="inlineStr">
        <is>
          <t>Uppfylld. Inloggningar och administrativa åtgärder hamnar i säkerhetsloggen med användare, roll, utfall, IP-adress och spårnings-id.</t>
        </is>
      </c>
    </row>
    <row r="39">
      <c r="B39" s="61" t="inlineStr">
        <is>
          <t>C.2.10</t>
        </is>
      </c>
      <c r="C39" s="55" t="inlineStr">
        <is>
          <t>Sessioner för minst adminstratörer ska avslutas efter inaktivitet. Beskriv hur kravet uppfylls.</t>
        </is>
      </c>
      <c r="D39" s="6" t="inlineStr">
        <is>
          <t>Ska</t>
        </is>
      </c>
      <c r="E39" s="15" t="inlineStr">
        <is>
          <t>Ja</t>
        </is>
      </c>
      <c r="F39" s="88" t="inlineStr">
        <is>
          <t>Uppfylld. Sessioner avslutas vid inaktivitet, med kortare gräns för personal än för hyresgäster. Gränsen kontrolleras vid varje anrop.</t>
        </is>
      </c>
    </row>
    <row r="40">
      <c r="B40" s="61" t="inlineStr">
        <is>
          <t>C.2.11</t>
        </is>
      </c>
      <c r="C40" s="55" t="inlineStr">
        <is>
          <t>Konton med administrativa eller utökade behörigheter ska skyddas med MFA.</t>
        </is>
      </c>
      <c r="D40" s="6" t="inlineStr">
        <is>
          <t>Ska</t>
        </is>
      </c>
      <c r="E40" s="15" t="inlineStr">
        <is>
          <t>Ja</t>
        </is>
      </c>
      <c r="F40" s="58" t="inlineStr">
        <is>
          <t>Uppfylld. Engångskod krävs för samtliga personalroller och kan inte stängas av för dem.</t>
        </is>
      </c>
    </row>
    <row r="41" ht="28.8" customHeight="1">
      <c r="B41" s="61" t="inlineStr">
        <is>
          <t>C.2.12</t>
        </is>
      </c>
      <c r="C41" s="55" t="inlineStr">
        <is>
          <t>Icke-personliga konton, exempelvis system-, service- och integrationskonton, ska begränsas till nödvändiga behörigheter och skyddas mot obehörig användning.</t>
        </is>
      </c>
      <c r="D41" s="6" t="inlineStr">
        <is>
          <t>Ska</t>
        </is>
      </c>
      <c r="E41" s="15" t="inlineStr">
        <is>
          <t>Ja</t>
        </is>
      </c>
      <c r="F41" s="58" t="inlineStr">
        <is>
          <t>Uppfylld. Integrationer loggar in som klient med scope-begränsade konton. Kontot är av typen service och kan inte logga in som en människa. Hemligheten kan bytas och kontot stängas av, vilket ogiltigförklarar utfärdade token direkt.</t>
        </is>
      </c>
    </row>
    <row r="42" ht="28.8" customHeight="1">
      <c r="B42" s="61" t="inlineStr">
        <is>
          <t>C.2.13</t>
        </is>
      </c>
      <c r="C42" s="55" t="inlineStr">
        <is>
          <t>Lösningen ska uppdatera eller avsluta hyresgästens åtkomst när kund-, boende- eller avtalsrelationen ändras i fastighetssystemet.</t>
        </is>
      </c>
      <c r="D42" s="6" t="inlineStr">
        <is>
          <t>Ska</t>
        </is>
      </c>
      <c r="E42" s="15" t="inlineStr">
        <is>
          <t>Ja</t>
        </is>
      </c>
      <c r="F42" s="58" t="inlineStr">
        <is>
          <t>Kräver konfiguration. Åtkomsten följer hyresförhållandet: när avtalet avslutas i fastighetssystemet avslutas åtkomsten vid nästa synkronisering. Kräver anslutning enligt A.1.8.</t>
        </is>
      </c>
    </row>
    <row r="43">
      <c r="B43" s="10" t="inlineStr">
        <is>
          <t>#</t>
        </is>
      </c>
      <c r="C43" s="20" t="inlineStr">
        <is>
          <t>C.3. Integrationer och API-säkerhet</t>
        </is>
      </c>
      <c r="D43" s="5" t="inlineStr">
        <is>
          <t>Kravtyp</t>
        </is>
      </c>
      <c r="E43" s="5" t="inlineStr">
        <is>
          <t>Uppfylls krav?</t>
        </is>
      </c>
      <c r="F43" s="59" t="inlineStr">
        <is>
          <t>Ev. kommentar</t>
        </is>
      </c>
    </row>
    <row r="44" ht="28.8" customHeight="1">
      <c r="B44" s="61" t="inlineStr">
        <is>
          <t>C.3.1</t>
        </is>
      </c>
      <c r="C44" s="55" t="inlineStr">
        <is>
          <t>All kommunikation mellan lösningen och externa system, API:er och integrationskomponenter ska vara krypterad med TLS 1.2 eller högre, eller motsvarande säkerhetsnivå.</t>
        </is>
      </c>
      <c r="D44" s="6" t="inlineStr">
        <is>
          <t>Ska</t>
        </is>
      </c>
      <c r="E44" s="15" t="inlineStr">
        <is>
          <t>Ja</t>
        </is>
      </c>
      <c r="F44" s="58" t="inlineStr">
        <is>
          <t>Ingår i leveransen. All kommunikation sker över TLS. Versionskrav och certifikat sätts i driftmiljön, som upphandlas inför driftsättning. HSTS är påslaget i produktionsläge.</t>
        </is>
      </c>
    </row>
    <row r="45" ht="28.8" customHeight="1">
      <c r="B45" s="61" t="inlineStr">
        <is>
          <t>C.3.2</t>
        </is>
      </c>
      <c r="C45" s="55" t="inlineStr">
        <is>
          <t>API:er och integrationer ska kräva autentisering. Användarnamn, lösenord, tokens, API-nycklar eller motsvarande autentiseringsuppgifter får inte lagras, exponeras eller förekomma i loggar i klartext.</t>
        </is>
      </c>
      <c r="D45" s="6" t="inlineStr">
        <is>
          <t>Ska</t>
        </is>
      </c>
      <c r="E45" s="15" t="inlineStr">
        <is>
          <t>Ja</t>
        </is>
      </c>
      <c r="F45" s="58" t="inlineStr">
        <is>
          <t>Uppfylld. API:er och integrationer kräver autentisering. Hemligheter lagras hashade eller som referens till driftmiljön, och loggramverket tar bort kända känsliga fält innan raden skrivs.</t>
        </is>
      </c>
    </row>
    <row r="46">
      <c r="B46" s="61" t="inlineStr">
        <is>
          <t>C.3.3</t>
        </is>
      </c>
      <c r="C46" s="55" t="inlineStr">
        <is>
          <t>Integrationer ska endast ha åtkomst till den information och de funktioner som krävs för tjänsten.</t>
        </is>
      </c>
      <c r="D46" s="6" t="inlineStr">
        <is>
          <t>Ska</t>
        </is>
      </c>
      <c r="E46" s="15" t="inlineStr">
        <is>
          <t>Ja</t>
        </is>
      </c>
      <c r="F46" s="58" t="inlineStr">
        <is>
          <t>Uppfylld. Varje integrationskonto får bara de scope det behöver, och ett scope som inte tilldelats ger fel i stället för tyst nedgradering.</t>
        </is>
      </c>
    </row>
    <row r="47" ht="28.8" customHeight="1">
      <c r="B47" s="61" t="inlineStr">
        <is>
          <t>C.3.4</t>
        </is>
      </c>
      <c r="C47" s="55" t="inlineStr">
        <is>
          <t>Lösningen ska kunna logga integrationsanrop och relevanta förändringar mellan lösningen och verksamhetssystemet.</t>
        </is>
      </c>
      <c r="D47" s="6" t="inlineStr">
        <is>
          <t>Ska</t>
        </is>
      </c>
      <c r="E47" s="15" t="inlineStr">
        <is>
          <t>Ja</t>
        </is>
      </c>
      <c r="F47" s="58" t="inlineStr">
        <is>
          <t>Uppfylld. Integrationsanrop registreras i integration_events med riktning, utfall, svarstid och felmeddelande.</t>
        </is>
      </c>
    </row>
    <row r="48" ht="28.8" customHeight="1">
      <c r="B48" s="61" t="inlineStr">
        <is>
          <t>C.3.5</t>
        </is>
      </c>
      <c r="C48" s="55" t="inlineStr">
        <is>
          <t>Leverantörens lösning ska hantera integrationsfel, avbrott och återkommande felaktiga anrop på ett kontrollerat sätt, så att tjänsten och anslutna system inte påverkas i onödan.</t>
        </is>
      </c>
      <c r="D48" s="6" t="inlineStr">
        <is>
          <t>Ska</t>
        </is>
      </c>
      <c r="E48" s="15" t="inlineStr">
        <is>
          <t>Ja</t>
        </is>
      </c>
      <c r="F48" s="58" t="inlineStr">
        <is>
          <t>Uppfylld. Fel ger växande fördröjning som planar ut. Utgående ändringar ligger kvar i kö tills källsystemet kvitterat. Tio tester prövar beteendet mot ett källsystem som svarar fel.</t>
        </is>
      </c>
    </row>
    <row r="49" ht="28.8" customHeight="1">
      <c r="B49" s="61" t="inlineStr">
        <is>
          <t>C.3.6</t>
        </is>
      </c>
      <c r="C49" s="55" t="inlineStr">
        <is>
          <t>Lösningen ska säkerställa att användare endast kan läsa och påverka information som de är behöriga till.</t>
        </is>
      </c>
      <c r="D49" s="6" t="inlineStr">
        <is>
          <t>Ska</t>
        </is>
      </c>
      <c r="E49" s="15" t="inlineStr">
        <is>
          <t>Ja</t>
        </is>
      </c>
      <c r="F49" s="58" t="inlineStr">
        <is>
          <t>Uppfylld. Behörigheten prövas på objektnivå. Fjorton tester begär det andra bolagets uppgifter med giltig session och rätt id, och får noll rader.</t>
        </is>
      </c>
    </row>
    <row r="50" ht="28.8" customHeight="1">
      <c r="B50" s="61" t="inlineStr">
        <is>
          <t>C.3.7</t>
        </is>
      </c>
      <c r="C50" s="55" t="inlineStr">
        <is>
          <t>Information som skickas mellan appen och verksamhetssystem ska kunna kopplas till relevant användare, funktion eller händelse.</t>
        </is>
      </c>
      <c r="D50" s="6" t="inlineStr">
        <is>
          <t>Ska</t>
        </is>
      </c>
      <c r="E50" s="15" t="inlineStr">
        <is>
          <t>Ja</t>
        </is>
      </c>
      <c r="F50" s="58" t="inlineStr">
        <is>
          <t>Uppfylld. Varje överföring bär referens till användare, funktion och händelse, och kopplas till källsystemets egen nyckel.</t>
        </is>
      </c>
    </row>
    <row r="51">
      <c r="B51" s="61" t="inlineStr">
        <is>
          <t>C.3.8</t>
        </is>
      </c>
      <c r="C51" s="55" t="inlineStr">
        <is>
          <t>Information ska valideras innan data skickas till verksamhetssystemet.</t>
        </is>
      </c>
      <c r="D51" s="6" t="inlineStr">
        <is>
          <t>Ska</t>
        </is>
      </c>
      <c r="E51" s="15" t="inlineStr">
        <is>
          <t>Ja</t>
        </is>
      </c>
      <c r="F51" s="58" t="inlineStr">
        <is>
          <t>Uppfylld. Indata valideras mot scheman innan något skrivs. En post som saknar ett fält skrivs inte alls.</t>
        </is>
      </c>
    </row>
    <row r="52">
      <c r="B52" s="61" t="inlineStr">
        <is>
          <t>C.3.9</t>
        </is>
      </c>
      <c r="C52" s="55" t="inlineStr">
        <is>
          <t>Lösningen ska kunna logga förändringar och händelser som skickas till eller från verksamhetssystemet.</t>
        </is>
      </c>
      <c r="D52" s="6" t="inlineStr">
        <is>
          <t>Ska</t>
        </is>
      </c>
      <c r="E52" s="15" t="inlineStr">
        <is>
          <t>Ja</t>
        </is>
      </c>
      <c r="F52" s="58" t="inlineStr">
        <is>
          <t>Uppfylld. Förändringar som skickas eller tas emot registreras med tidpunkt och utfall.</t>
        </is>
      </c>
    </row>
    <row r="53">
      <c r="B53" s="61" t="inlineStr">
        <is>
          <t>C.3.10</t>
        </is>
      </c>
      <c r="C53" s="55" t="inlineStr">
        <is>
          <t>Lösningen ska säkerställa att information mellan appen och verksamhetssystemet hålls uppdaterad.</t>
        </is>
      </c>
      <c r="D53" s="6" t="inlineStr">
        <is>
          <t>Ska</t>
        </is>
      </c>
      <c r="E53" s="15" t="inlineStr">
        <is>
          <t>Ja</t>
        </is>
      </c>
      <c r="F53" s="58" t="inlineStr">
        <is>
          <t>Uppfylld. Schemalagd synkronisering per datamängd, med färskhetsstämpel och tydlig markering när uppgifterna är gamla.</t>
        </is>
      </c>
    </row>
    <row r="54" ht="43.2" customHeight="1">
      <c r="B54" s="61" t="inlineStr">
        <is>
          <t>C.3.11</t>
        </is>
      </c>
      <c r="C54" s="55" t="inlineStr">
        <is>
          <t>Lösningen ska kunna hantera tillfälliga fördröjningar, avbrott, misslyckade uppdateringar eller tillfälliga integrationsstörningar mellan appen och verksamhetssystemet utan att information skrivs felaktigt till verksamhetssystemet.</t>
        </is>
      </c>
      <c r="D54" s="6" t="inlineStr">
        <is>
          <t>Ska</t>
        </is>
      </c>
      <c r="E54" s="15" t="inlineStr">
        <is>
          <t>Ja</t>
        </is>
      </c>
      <c r="F54" s="58" t="inlineStr">
        <is>
          <t>Uppfylld. Vid störning behålls senast lyckade tidpunkt, markören flyttas inte, och en post som inte gick att tolka skrivs inte in halvfärdig.</t>
        </is>
      </c>
    </row>
    <row r="55" ht="28.8" customHeight="1">
      <c r="B55" s="61" t="inlineStr">
        <is>
          <t>C.3.12</t>
        </is>
      </c>
      <c r="C55" s="55" t="inlineStr">
        <is>
          <t>Om lokal cache används ska cachelagrad information skyddas mot obehörig åtkomst och raderas när den inte längre behövs.</t>
        </is>
      </c>
      <c r="D55" s="6" t="inlineStr">
        <is>
          <t>Ska</t>
        </is>
      </c>
      <c r="E55" s="15" t="inlineStr">
        <is>
          <t>Ja</t>
        </is>
      </c>
      <c r="F55" s="58" t="inlineStr">
        <is>
          <t>Uppfylld. Servicearbetaren cachar bara programfilerna, aldrig svar från API:et. Ingen kunddata lagras på enheten.</t>
        </is>
      </c>
    </row>
    <row r="56" ht="28.8" customHeight="1">
      <c r="B56" s="61" t="inlineStr">
        <is>
          <t>C.3.13</t>
        </is>
      </c>
      <c r="C56" s="55" t="inlineStr">
        <is>
          <t>Användaren ska informeras på ett tydligt sätt om en åtgärd inte kan genomföras eller om information inte är uppdaterad.</t>
        </is>
      </c>
      <c r="D56" s="6" t="inlineStr">
        <is>
          <t>Ska</t>
        </is>
      </c>
      <c r="E56" s="15" t="inlineStr">
        <is>
          <t>Ja</t>
        </is>
      </c>
      <c r="F56" s="58" t="inlineStr">
        <is>
          <t>Uppfylld. Gränssnittet skriver ut när en datamängd aldrig hämtats eller är för gammal, i stället för att visa uppgifterna som aktuella.</t>
        </is>
      </c>
    </row>
    <row r="57" ht="43.2" customHeight="1">
      <c r="B57" s="61" t="inlineStr">
        <is>
          <t>C.3.14</t>
        </is>
      </c>
      <c r="C57" s="55" t="inlineStr">
        <is>
          <t>Lösningen ska kontrollera behörighet på objekt- och funktionsnivå vid relevanta API-anrop, så att användare inte kan läsa, ändra eller skapa information kopplad till annan hyresgäst, annat avtal, annat ärende eller annan bostad.</t>
        </is>
      </c>
      <c r="D57" s="6" t="inlineStr">
        <is>
          <t>Ska</t>
        </is>
      </c>
      <c r="E57" s="15" t="inlineStr">
        <is>
          <t>Ja</t>
        </is>
      </c>
      <c r="F57" s="58" t="inlineStr">
        <is>
          <t>Uppfylld. Behörighet prövas på objekt- och funktionsnivå vid varje anrop, så att en användare inte kan nå annan hyresgäst, annat avtal, annat ärende eller annan bostad.</t>
        </is>
      </c>
    </row>
    <row r="58">
      <c r="B58" s="10" t="inlineStr">
        <is>
          <t>#</t>
        </is>
      </c>
      <c r="C58" s="20" t="inlineStr">
        <is>
          <t>C.4. Loggning och spårbarhet</t>
        </is>
      </c>
      <c r="D58" s="5" t="inlineStr">
        <is>
          <t>Kravtyp</t>
        </is>
      </c>
      <c r="E58" s="5" t="inlineStr">
        <is>
          <t>Uppfylls krav?</t>
        </is>
      </c>
      <c r="F58" s="59" t="inlineStr">
        <is>
          <t>Ev. kommentar</t>
        </is>
      </c>
    </row>
    <row r="59" ht="28.8" customHeight="1">
      <c r="B59" s="61" t="inlineStr">
        <is>
          <t>C.4.1</t>
        </is>
      </c>
      <c r="C59" s="55" t="inlineStr">
        <is>
          <t>Lösningen ska logga säkerhetsrelaterade händelser, administrativa åtgärder, inloggningar och integrationshändelser.</t>
        </is>
      </c>
      <c r="D59" s="6" t="inlineStr">
        <is>
          <t>Ska</t>
        </is>
      </c>
      <c r="E59" s="15" t="inlineStr">
        <is>
          <t>Ja</t>
        </is>
      </c>
      <c r="F59" s="58" t="inlineStr">
        <is>
          <t>Uppfylld. Säkerhetsrelaterade händelser, administrativa åtgärder, inloggningar och integrationshändelser loggas. Se docs/rutiner/loggning-och-overvakning.md.</t>
        </is>
      </c>
    </row>
    <row r="60">
      <c r="B60" s="61" t="inlineStr">
        <is>
          <t>C.4.2</t>
        </is>
      </c>
      <c r="C60" s="55" t="inlineStr">
        <is>
          <t>Loggar ska skyddas mot obehörig åtkomst och manipulation.</t>
        </is>
      </c>
      <c r="D60" s="6" t="inlineStr">
        <is>
          <t>Ska</t>
        </is>
      </c>
      <c r="E60" s="15" t="inlineStr">
        <is>
          <t>Ja</t>
        </is>
      </c>
      <c r="F60" s="58" t="inlineStr">
        <is>
          <t>Uppfylld. Applikationens databasroll saknar UPDATE och DELETE på säkerhetsloggen. Rättigheten är återkallad i databasen, inte kontrollerad i koden.</t>
        </is>
      </c>
    </row>
    <row r="61">
      <c r="B61" s="61" t="inlineStr">
        <is>
          <t>C.4.3</t>
        </is>
      </c>
      <c r="C61" s="55" t="inlineStr">
        <is>
          <t>Leverantören ska kunna bistå beställaren med relevanta loggar vid incident eller felsökning.</t>
        </is>
      </c>
      <c r="D61" s="6" t="inlineStr">
        <is>
          <t>Ska</t>
        </is>
      </c>
      <c r="E61" s="15" t="inlineStr">
        <is>
          <t>Ja</t>
        </is>
      </c>
      <c r="F61" s="58" t="inlineStr">
        <is>
          <t>Leverantörsrutin. Beställaren når säkerhetsloggen själv. Övriga loggar lämnas inom en arbetsdag från begäran, i maskinläsbart format.</t>
        </is>
      </c>
    </row>
    <row r="62" ht="28.8" customHeight="1">
      <c r="B62" s="61" t="inlineStr">
        <is>
          <t>C.4.4</t>
        </is>
      </c>
      <c r="C62" s="55" t="inlineStr">
        <is>
          <t>Leverantören ska ha övervakning eller motsvarande förmåga för att upptäcka säkerhetsincidenter och avvikande beteenden i tjänsten.</t>
        </is>
      </c>
      <c r="D62" s="6" t="inlineStr">
        <is>
          <t>Ska</t>
        </is>
      </c>
      <c r="E62" s="15" t="inlineStr">
        <is>
          <t>Ja</t>
        </is>
      </c>
      <c r="F62" s="58" t="inlineStr">
        <is>
          <t>Leverantörsrutin. Tröskelvärden för avvikande beteende är fastställda och underlaget finns i login_attempts och audit_log. Övervakningsverktyget är inte upphandlat.</t>
        </is>
      </c>
    </row>
    <row r="63">
      <c r="B63" s="10" t="inlineStr">
        <is>
          <t>#</t>
        </is>
      </c>
      <c r="C63" s="20" t="inlineStr">
        <is>
          <t>C.5. Mobil- och klientsäkerhet</t>
        </is>
      </c>
      <c r="D63" s="5" t="inlineStr">
        <is>
          <t>Kravtyp</t>
        </is>
      </c>
      <c r="E63" s="5" t="inlineStr">
        <is>
          <t>Uppfylls krav?</t>
        </is>
      </c>
      <c r="F63" s="59" t="inlineStr">
        <is>
          <t>Ev. kommentar</t>
        </is>
      </c>
    </row>
    <row r="64" ht="28.8" customHeight="1">
      <c r="B64" s="61" t="inlineStr">
        <is>
          <t>C.5.1</t>
        </is>
      </c>
      <c r="C64" s="55" t="inlineStr">
        <is>
          <t>Appen ska utvecklas och testas med hänsyn till etablerad god praxis för mobilappssäkerhet, exempelvis OWASP MASVS eller motsvarande.</t>
        </is>
      </c>
      <c r="D64" s="6" t="inlineStr">
        <is>
          <t>Ska</t>
        </is>
      </c>
      <c r="E64" s="15" t="inlineStr">
        <is>
          <t>Ja</t>
        </is>
      </c>
      <c r="F64" s="58" t="inlineStr">
        <is>
          <t>Leverantörsrutin. Webbklienten följer motsvarande krav. OWASP MASVS blir tillämpligt för de nativa apparna och ingår i deras utveckling.</t>
        </is>
      </c>
    </row>
    <row r="65">
      <c r="B65" s="61" t="inlineStr">
        <is>
          <t>C.5.2</t>
        </is>
      </c>
      <c r="C65" s="55" t="inlineStr">
        <is>
          <t>Skyddsvärd information får inte lagras okrypterat på mobil enhet.</t>
        </is>
      </c>
      <c r="D65" s="6" t="inlineStr">
        <is>
          <t>Ska</t>
        </is>
      </c>
      <c r="E65" s="15" t="inlineStr">
        <is>
          <t>Ja</t>
        </is>
      </c>
      <c r="F65" s="58" t="inlineStr">
        <is>
          <t>Uppfylld. Ingen skyddsvärd information lagras okrypterat på enheten. Servicearbetaren cachar aldrig svar från API:et.</t>
        </is>
      </c>
    </row>
    <row r="66" ht="28.8" customHeight="1">
      <c r="B66" s="61" t="inlineStr">
        <is>
          <t>C.5.3</t>
        </is>
      </c>
      <c r="C66" s="55" t="inlineStr">
        <is>
          <t>Skyddsvärd information ska inte exponeras i notifieringar, pushnotiser, cache, lokala loggar eller andra klientnära funktioner om det inte är nödvändigt för tjänstens funktion.</t>
        </is>
      </c>
      <c r="D66" s="6" t="inlineStr">
        <is>
          <t>Ska</t>
        </is>
      </c>
      <c r="E66" s="15" t="inlineStr">
        <is>
          <t>Ja</t>
        </is>
      </c>
      <c r="F66" s="58" t="inlineStr">
        <is>
          <t>Uppfylld. Pushnotisen säger att något hänt, inte vad. Detaljerna läses i appen efter inloggning.</t>
        </is>
      </c>
    </row>
    <row r="67">
      <c r="B67" s="61" t="inlineStr">
        <is>
          <t>C.5.4</t>
        </is>
      </c>
      <c r="C67" s="55" t="inlineStr">
        <is>
          <t>Kommunikation mellan app och backend ska vara krypterad.</t>
        </is>
      </c>
      <c r="D67" s="6" t="inlineStr">
        <is>
          <t>Ska</t>
        </is>
      </c>
      <c r="E67" s="15" t="inlineStr">
        <is>
          <t>Ja</t>
        </is>
      </c>
      <c r="F67" s="58" t="inlineStr">
        <is>
          <t>Uppfylld. All kommunikation mellan app och backend sker över TLS, med HSTS i produktionsläge.</t>
        </is>
      </c>
    </row>
    <row r="68">
      <c r="B68" s="61" t="inlineStr">
        <is>
          <t>C.5.5</t>
        </is>
      </c>
      <c r="C68" s="55" t="inlineStr">
        <is>
          <t>Appen ska verifiera certifikat vid kommunikation mot backend och API:er.</t>
        </is>
      </c>
      <c r="D68" s="6" t="inlineStr">
        <is>
          <t>Ska</t>
        </is>
      </c>
      <c r="E68" s="15" t="inlineStr">
        <is>
          <t>Ja</t>
        </is>
      </c>
      <c r="F68" s="58" t="inlineStr">
        <is>
          <t>Uppfylld. Webbläsarens certifikatkontroll gäller, och kan inte stängas av i klienten. BankID-anropen kontrollerar certifikat mot BankID:s CA. Certifikatnålning tillkommer i de nativa apparna.</t>
        </is>
      </c>
    </row>
    <row r="69" ht="43.2" customHeight="1">
      <c r="B69" s="61" t="inlineStr">
        <is>
          <t>C.5.6</t>
        </is>
      </c>
      <c r="C69" s="55" t="inlineStr">
        <is>
          <t>Om lösningen tillåter uppladdning av filer eller bilder ska dessa hanteras på ett säkert sätt. Godkända filtyper och filstorlekar ska kunna begränsas, uppladdat innehåll ska kontrolleras för skadlig kod eller annat skadligt innehåll och endast vara åtkomligt för behöriga användare.</t>
        </is>
      </c>
      <c r="D69" s="6" t="inlineStr">
        <is>
          <t>Ska</t>
        </is>
      </c>
      <c r="E69" s="15" t="inlineStr">
        <is>
          <t>Ja</t>
        </is>
      </c>
      <c r="F69" s="58" t="inlineStr">
        <is>
          <t>Uppfylld. Filtyper och storlek begränsas per fastighetsbolag. Innehållet kontrolleras mot sitt verkliga format, PDF med aktivt innehåll avvisas, och metadata rensas ur bilder. Filer nås bara av behöriga, genom en kontroll i backend.</t>
        </is>
      </c>
    </row>
    <row r="70">
      <c r="B70" s="10" t="inlineStr">
        <is>
          <t>#</t>
        </is>
      </c>
      <c r="C70" s="20" t="inlineStr">
        <is>
          <t>C.6. Säker utveckling och teknisk förändring</t>
        </is>
      </c>
      <c r="D70" s="5" t="inlineStr">
        <is>
          <t>Kravtyp</t>
        </is>
      </c>
      <c r="E70" s="5" t="inlineStr">
        <is>
          <t>Uppfylls krav?</t>
        </is>
      </c>
      <c r="F70" s="59" t="inlineStr">
        <is>
          <t>Ev. kommentar</t>
        </is>
      </c>
    </row>
    <row r="71" ht="28.8" customHeight="1">
      <c r="B71" s="61" t="inlineStr">
        <is>
          <t>C.6.1</t>
        </is>
      </c>
      <c r="C71" s="55" t="inlineStr">
        <is>
          <t>Leverantören ska begränsa åtkomst till egenutvecklad kod, kundspecifika anpassningar, byggmiljöer och utvecklingsverktyg till behöriga personer.</t>
        </is>
      </c>
      <c r="D71" s="6" t="inlineStr">
        <is>
          <t>Ska</t>
        </is>
      </c>
      <c r="E71" s="15" t="inlineStr">
        <is>
          <t>Ja</t>
        </is>
      </c>
      <c r="F71" s="58" t="inlineStr">
        <is>
          <t>Leverantörsrutin. Personliga konton med multifaktor till kod, byggkedja och hemligheter. Utvecklare har inte åtkomst till produktion.</t>
        </is>
      </c>
    </row>
    <row r="72" ht="28.8" customHeight="1">
      <c r="B72" s="61" t="inlineStr">
        <is>
          <t>C.6.2</t>
        </is>
      </c>
      <c r="C72" s="55" t="inlineStr">
        <is>
          <t>Källkod och konfigurationer som används för tjänsten ska hanteras med versionskontroll eller motsvarande spårbar hantering.</t>
        </is>
      </c>
      <c r="D72" s="6" t="inlineStr">
        <is>
          <t>Ska</t>
        </is>
      </c>
      <c r="E72" s="15" t="inlineStr">
        <is>
          <t>Ja</t>
        </is>
      </c>
      <c r="F72" s="58" t="inlineStr">
        <is>
          <t>Uppfylld. All kod och konfiguration i Git, med granskad sammanslagning. Databasens struktur ändras bara genom numrerade migreringar.</t>
        </is>
      </c>
    </row>
    <row r="73">
      <c r="B73" s="61" t="inlineStr">
        <is>
          <t>C.6.3</t>
        </is>
      </c>
      <c r="C73" s="55" t="inlineStr">
        <is>
          <t>Leverantören ska säkerställa att utvecklings-, test- och produktionsmiljöer är separerade.</t>
        </is>
      </c>
      <c r="D73" s="6" t="inlineStr">
        <is>
          <t>Ska</t>
        </is>
      </c>
      <c r="E73" s="15" t="inlineStr">
        <is>
          <t>Ja</t>
        </is>
      </c>
      <c r="F73" s="58" t="inlineStr">
        <is>
          <t>Leverantörsrutin. Utveckling, test och produktion delar varken databas, lagring eller hemligheter. Personuppgifter kopieras aldrig från produktion.</t>
        </is>
      </c>
    </row>
    <row r="74" ht="28.8" customHeight="1">
      <c r="B74" s="61" t="inlineStr">
        <is>
          <t>C.6.5</t>
        </is>
      </c>
      <c r="C74" s="55" t="inlineStr">
        <is>
          <t>Leverantören ska ha möjlighet att återställa eller korrigera ändringar som orsakar allvarliga fel eller säkerhetsproblem i tjänsten.</t>
        </is>
      </c>
      <c r="D74" s="6" t="inlineStr">
        <is>
          <t>Ska</t>
        </is>
      </c>
      <c r="E74" s="15" t="inlineStr">
        <is>
          <t>Ja</t>
        </is>
      </c>
      <c r="F74" s="58" t="inlineStr">
        <is>
          <t>Leverantörsrutin. Föregående version kan sättas i drift på minuter. Migreringar som rör befintlig data delas i tre steg, så att det går att gå tillbaka utan dataförlust.</t>
        </is>
      </c>
    </row>
    <row r="75" ht="28.8" customHeight="1">
      <c r="B75" s="61" t="inlineStr">
        <is>
          <t>C.6.6</t>
        </is>
      </c>
      <c r="C75" s="55" t="inlineStr">
        <is>
          <t>Leverantören ska genomföra relevanta säkerhetstester vid större förändringar som påverkar tjänstens säkerhet, åtkomst, integrationer eller externa gränssnitt.</t>
        </is>
      </c>
      <c r="D75" s="6" t="inlineStr">
        <is>
          <t>Ska</t>
        </is>
      </c>
      <c r="E75" s="15" t="inlineStr">
        <is>
          <t>Ja</t>
        </is>
      </c>
      <c r="F75" s="58" t="inlineStr">
        <is>
          <t>Leverantörsrutin. Förändring som rör autentisering, behörighet, kundseparering, filhantering, loggning eller externt gränssnitt får egen säkerhetsgenomgång och utökade tester.</t>
        </is>
      </c>
    </row>
    <row r="76" ht="28.8" customHeight="1">
      <c r="B76" s="61" t="inlineStr">
        <is>
          <t>C.6.7</t>
        </is>
      </c>
      <c r="C76" s="55" t="inlineStr">
        <is>
          <t>Leverantören ska ha rutiner för att hantera upptäckta sårbarheter i egen kod, tredjepartskomponenter och driftmiljö.</t>
        </is>
      </c>
      <c r="D76" s="6" t="inlineStr">
        <is>
          <t>Ska</t>
        </is>
      </c>
      <c r="E76" s="15" t="inlineStr">
        <is>
          <t>Ja</t>
        </is>
      </c>
      <c r="F76" s="58" t="inlineStr">
        <is>
          <t>Leverantörsrutin. Gäller egen kod, tredjepartskomponenter och driftmiljö, med samma klassning och tider som C.1.2. Ett bygge med känd kritisk sårbarhet i drift går inte vidare.</t>
        </is>
      </c>
    </row>
    <row r="77">
      <c r="B77" s="10" t="inlineStr">
        <is>
          <t>#</t>
        </is>
      </c>
      <c r="C77" s="20" t="inlineStr">
        <is>
          <t>C.7. Incidenthantering</t>
        </is>
      </c>
      <c r="D77" s="5" t="inlineStr">
        <is>
          <t>Kravtyp</t>
        </is>
      </c>
      <c r="E77" s="5" t="inlineStr">
        <is>
          <t>Uppfylls krav?</t>
        </is>
      </c>
      <c r="F77" s="59" t="inlineStr">
        <is>
          <t>Ev. kommentar</t>
        </is>
      </c>
    </row>
    <row r="78">
      <c r="B78" s="61" t="inlineStr">
        <is>
          <t>C.7.1</t>
        </is>
      </c>
      <c r="C78" s="55" t="inlineStr">
        <is>
          <t>Leverantören ska ha dokumenterade rutiner för hantering av säkerhetsincidenter.</t>
        </is>
      </c>
      <c r="D78" s="6" t="inlineStr">
        <is>
          <t>Ska</t>
        </is>
      </c>
      <c r="E78" s="15" t="inlineStr">
        <is>
          <t>Ja</t>
        </is>
      </c>
      <c r="F78" s="58" t="inlineStr">
        <is>
          <t>Leverantörsrutin. Sju steg från upptäckt till uppföljning, med klassning i tre nivåer. Se docs/rutiner/incidenthantering.md.</t>
        </is>
      </c>
    </row>
    <row r="79" ht="28.8" customHeight="1">
      <c r="B79" s="61" t="inlineStr">
        <is>
          <t>C.7.2</t>
        </is>
      </c>
      <c r="C79" s="55" t="inlineStr">
        <is>
          <t>Säkerhetsincidenter som påverkar tjänsten, beställarens information eller integrationer ska rapporteras till beställaren utan onödigt dröjsmål.</t>
        </is>
      </c>
      <c r="D79" s="6" t="inlineStr">
        <is>
          <t>Ska</t>
        </is>
      </c>
      <c r="E79" s="15" t="inlineStr">
        <is>
          <t>Ja</t>
        </is>
      </c>
      <c r="F79" s="58" t="inlineStr">
        <is>
          <t>Leverantörsrutin. Första besked inom 4 timmar vid allvarlig incident, även när bilden är ofullständig. Underlaget är anpassat för beställarens frist på 72 timmar.</t>
        </is>
      </c>
    </row>
    <row r="80">
      <c r="B80" s="61" t="inlineStr">
        <is>
          <t>C.7.3</t>
        </is>
      </c>
      <c r="C80" s="55" t="inlineStr">
        <is>
          <t>Leverantören ska tillhandahålla kontaktvägar för incidenthantering och eskalering.</t>
        </is>
      </c>
      <c r="D80" s="6" t="inlineStr">
        <is>
          <t>Ska</t>
        </is>
      </c>
      <c r="E80" s="15" t="inlineStr">
        <is>
          <t>Ja</t>
        </is>
      </c>
      <c r="F80" s="58" t="inlineStr">
        <is>
          <t>Leverantörsrutin. Kontaktvägar för normal ärendegång, incident under och utanför kontorstid, samt eskalering, med angivna svarstider.</t>
        </is>
      </c>
    </row>
    <row r="81">
      <c r="B81" s="61" t="inlineStr">
        <is>
          <t>C.7.4</t>
        </is>
      </c>
      <c r="C81" s="55" t="inlineStr">
        <is>
          <t>Leverantören ska kunna hantera incidenter som påverkar tjänstens säkerhet eller tillgänglighet.</t>
        </is>
      </c>
      <c r="D81" s="6" t="inlineStr">
        <is>
          <t>Ska</t>
        </is>
      </c>
      <c r="E81" s="15" t="inlineStr">
        <is>
          <t>Ja</t>
        </is>
      </c>
      <c r="F81" s="58" t="inlineStr">
        <is>
          <t>Leverantörsrutin. Namngivna roller med ersättare, beredskap utanför kontorstid, och årlig övning. Sessioner och integrationskonton kan stängas av direkt i tjänstens gränssnitt.</t>
        </is>
      </c>
    </row>
    <row r="82" ht="28.8" customHeight="1">
      <c r="B82" s="61" t="inlineStr">
        <is>
          <t>C.7.5</t>
        </is>
      </c>
      <c r="C82" s="55" t="inlineStr">
        <is>
          <t>Leverantören ska dokumentera säkerhetsincidenter som påverkar tjänsten och kunna redovisa relevanta åtgärder för beställaren.</t>
        </is>
      </c>
      <c r="D82" s="6" t="inlineStr">
        <is>
          <t>Ska</t>
        </is>
      </c>
      <c r="E82" s="15" t="inlineStr">
        <is>
          <t>Ja</t>
        </is>
      </c>
      <c r="F82" s="58" t="inlineStr">
        <is>
          <t>Leverantörsrutin. Varje incident dokumenteras med förlopp, berörd information, åtgärder och beslutade förbättringar.</t>
        </is>
      </c>
    </row>
    <row r="83">
      <c r="B83" s="10" t="inlineStr">
        <is>
          <t>#</t>
        </is>
      </c>
      <c r="C83" s="20" t="inlineStr">
        <is>
          <t>C.8. Backup, kontinuitet och återställning</t>
        </is>
      </c>
      <c r="D83" s="5" t="inlineStr">
        <is>
          <t>Kravtyp</t>
        </is>
      </c>
      <c r="E83" s="5" t="inlineStr">
        <is>
          <t>Uppfylls krav?</t>
        </is>
      </c>
      <c r="F83" s="59" t="inlineStr">
        <is>
          <t>Ev. kommentar</t>
        </is>
      </c>
    </row>
    <row r="84">
      <c r="B84" s="61" t="inlineStr">
        <is>
          <t>C.8.1</t>
        </is>
      </c>
      <c r="C84" s="55" t="inlineStr">
        <is>
          <t>Leverantören ska ha dokumenterade rutiner för backup och återställning.</t>
        </is>
      </c>
      <c r="D84" s="6" t="inlineStr">
        <is>
          <t>Ska</t>
        </is>
      </c>
      <c r="E84" s="15" t="inlineStr">
        <is>
          <t>Ja</t>
        </is>
      </c>
      <c r="F84" s="58" t="inlineStr">
        <is>
          <t>Leverantörsrutin. Daglig fullständig kopia och kontinuerlig arkivering av transaktionsloggen, med mål för återställningstid och dataförlust.</t>
        </is>
      </c>
    </row>
    <row r="85">
      <c r="B85" s="61" t="inlineStr">
        <is>
          <t>C.8.2</t>
        </is>
      </c>
      <c r="C85" s="55" t="inlineStr">
        <is>
          <t>Backuper ska skyddas mot obehörig åtkomst.</t>
        </is>
      </c>
      <c r="D85" s="6" t="inlineStr">
        <is>
          <t>Ska</t>
        </is>
      </c>
      <c r="E85" s="15" t="inlineStr">
        <is>
          <t>Ja</t>
        </is>
      </c>
      <c r="F85" s="58" t="inlineStr">
        <is>
          <t>Leverantörsrutin. Backuper krypteras i vila, ligger skilt från databasen, och nås bara av driftansvarig med multifaktor.</t>
        </is>
      </c>
    </row>
    <row r="86">
      <c r="B86" s="61" t="inlineStr">
        <is>
          <t>C.8.3</t>
        </is>
      </c>
      <c r="C86" s="55" t="inlineStr">
        <is>
          <t>Leverantören ska regelbundet testa återställning av backup eller motsvarande återställningsförmåga.</t>
        </is>
      </c>
      <c r="D86" s="6" t="inlineStr">
        <is>
          <t>Ska</t>
        </is>
      </c>
      <c r="E86" s="15" t="inlineStr">
        <is>
          <t>Ja</t>
        </is>
      </c>
      <c r="F86" s="58" t="inlineStr">
        <is>
          <t>Leverantörsrutin. Automatisk provläsning varje vecka och fullständig återställningsövning varje år, med uppmätt tid mot målet.</t>
        </is>
      </c>
    </row>
    <row r="87" ht="28.8" customHeight="1">
      <c r="B87" s="61" t="inlineStr">
        <is>
          <t>C.8.4</t>
        </is>
      </c>
      <c r="C87" s="55" t="inlineStr">
        <is>
          <t>Leverantören ska övervaka tjänstens kapacitet och prestanda i syfte att upptäcka störningar och säkerställa avtalad tillgänglighet.</t>
        </is>
      </c>
      <c r="D87" s="6" t="inlineStr">
        <is>
          <t>Ska</t>
        </is>
      </c>
      <c r="E87" s="15" t="inlineStr">
        <is>
          <t>Ja</t>
        </is>
      </c>
      <c r="F87" s="58" t="inlineStr">
        <is>
          <t>Leverantörsrutin. Tröskelvärden för svarstid, felandel, anslutningar, diskutrymme och köer är fastställda. Tjänsten har beredskapskontroller för ändamålet.</t>
        </is>
      </c>
    </row>
    <row r="88" ht="28.8" customHeight="1">
      <c r="B88" s="61" t="inlineStr">
        <is>
          <t>C.8.5</t>
        </is>
      </c>
      <c r="C88" s="55" t="inlineStr">
        <is>
          <t>Leverantören ska ha förmåga att hantera driftstörningar i de delar av tjänsten som krävs för att upprätthålla avtalad tillgänglighet.</t>
        </is>
      </c>
      <c r="D88" s="6" t="inlineStr">
        <is>
          <t>Ska</t>
        </is>
      </c>
      <c r="E88" s="15" t="inlineStr">
        <is>
          <t>Ja</t>
        </is>
      </c>
      <c r="F88" s="58" t="inlineStr">
        <is>
          <t>Leverantörsrutin. Flera instanser, beredskapskopia av databasen, och köer med omförsök så att en störning fördröjer men inte tappar uppgifter.</t>
        </is>
      </c>
    </row>
    <row r="89">
      <c r="B89" s="10" t="inlineStr">
        <is>
          <t>#</t>
        </is>
      </c>
      <c r="C89" s="20" t="inlineStr">
        <is>
          <t>C.9. Uppföljning och verifiering</t>
        </is>
      </c>
      <c r="D89" s="5" t="inlineStr">
        <is>
          <t>Kravtyp</t>
        </is>
      </c>
      <c r="E89" s="5" t="inlineStr">
        <is>
          <t>Uppfylls krav?</t>
        </is>
      </c>
      <c r="F89" s="59" t="inlineStr">
        <is>
          <t>Ev. kommentar</t>
        </is>
      </c>
    </row>
    <row r="90" ht="28.8" customHeight="1">
      <c r="B90" s="36" t="inlineStr">
        <is>
          <t>C.9.1</t>
        </is>
      </c>
      <c r="C90" s="55" t="inlineStr">
        <is>
          <t>Leverantören ska på begäran kunna redovisa dokumentation som visar hur avtalade säkerhetskrav efterlevs.</t>
        </is>
      </c>
      <c r="D90" s="6" t="inlineStr">
        <is>
          <t>Ska</t>
        </is>
      </c>
      <c r="E90" s="15" t="inlineStr">
        <is>
          <t>Ja</t>
        </is>
      </c>
      <c r="F90" s="58" t="inlineStr">
        <is>
          <t>Leverantörsrutin. Underlag lämnas inom tio arbetsdagar. Vad som finns att visa framgår av docs/rutiner/uppfoljning.md.</t>
        </is>
      </c>
    </row>
    <row r="91" ht="28.8" customHeight="1">
      <c r="B91" s="36" t="inlineStr">
        <is>
          <t>C.9.2</t>
        </is>
      </c>
      <c r="C91" s="55" t="inlineStr">
        <is>
          <t>Leverantören ska kunna redovisa genomförda säkerhetsåtgärder och förbättringar som är relevanta för tjänsten.</t>
        </is>
      </c>
      <c r="D91" s="6" t="inlineStr">
        <is>
          <t>Ska</t>
        </is>
      </c>
      <c r="E91" s="15" t="inlineStr">
        <is>
          <t>Ja</t>
        </is>
      </c>
      <c r="F91" s="58" t="inlineStr">
        <is>
          <t>Leverantörsrutin. Årlig säkerhetsredogörelse med genomförda åtgärder, incidenter, testresultat och planerat arbete.</t>
        </is>
      </c>
    </row>
    <row r="92" ht="28.8" customHeight="1">
      <c r="B92" s="36" t="inlineStr">
        <is>
          <t>C.9.3</t>
        </is>
      </c>
      <c r="C92" s="55" t="inlineStr">
        <is>
          <t>Uppföljning ska i första hand baseras på dokumentation, självdeklarationer, standardiserade underlag, certifieringar, revisioner eller motsvarande.</t>
        </is>
      </c>
      <c r="D92" s="6" t="inlineStr">
        <is>
          <t>Ska</t>
        </is>
      </c>
      <c r="E92" s="15" t="inlineStr">
        <is>
          <t>Ja</t>
        </is>
      </c>
      <c r="F92" s="58" t="inlineStr">
        <is>
          <t>Leverantörsrutin. Uppföljningen bygger på dokumentation, självdeklaration och testrapporter. Certifiering enligt ISO 27001 finns inte och skulle behöva avtalas särskilt.</t>
        </is>
      </c>
    </row>
    <row r="93" ht="28.8" customHeight="1">
      <c r="B93" s="36" t="inlineStr">
        <is>
          <t>C.9.4</t>
        </is>
      </c>
      <c r="C93" s="55" t="inlineStr">
        <is>
          <t>Leverantören ska medverka vid uppföljning av säkerhetskrav vid större förändring, allvarlig incident eller införande av ny väsentlig underleverantör.</t>
        </is>
      </c>
      <c r="D93" s="6" t="inlineStr">
        <is>
          <t>Ska</t>
        </is>
      </c>
      <c r="E93" s="15" t="inlineStr">
        <is>
          <t>Ja</t>
        </is>
      </c>
      <c r="F93" s="58" t="inlineStr">
        <is>
          <t>Leverantörsrutin. Fördjupad uppföljning vid större förändring, allvarlig incident eller ny väsentlig underleverantör.</t>
        </is>
      </c>
    </row>
    <row r="94">
      <c r="B94" s="10" t="inlineStr">
        <is>
          <t>#</t>
        </is>
      </c>
      <c r="C94" s="20" t="inlineStr">
        <is>
          <t>C.10. AI och automatisering</t>
        </is>
      </c>
      <c r="D94" s="5" t="inlineStr">
        <is>
          <t>Kravtyp</t>
        </is>
      </c>
      <c r="E94" s="5" t="inlineStr">
        <is>
          <t>Uppfylls krav?</t>
        </is>
      </c>
      <c r="F94" s="59" t="inlineStr">
        <is>
          <t>Ev. kommentar</t>
        </is>
      </c>
    </row>
    <row r="95" ht="28.8" customHeight="1">
      <c r="B95" s="62" t="inlineStr">
        <is>
          <t>C.10.1</t>
        </is>
      </c>
      <c r="C95" s="60" t="inlineStr">
        <is>
          <t>AI-funktioner får inte användas för att fatta beslut eller ge automatiserade rekommendationer som påverkar hyresgäster, ärenden eller Botkyrkabyggens verksamhet utan beställarens godkännande.</t>
        </is>
      </c>
      <c r="D95" s="51" t="inlineStr">
        <is>
          <t>Ska</t>
        </is>
      </c>
      <c r="E95" s="52" t="inlineStr">
        <is>
          <t>Ja</t>
        </is>
      </c>
      <c r="F95" s="63" t="inlineStr">
        <is>
          <t>Uppfylld. Ingen språkmodell finns i produkten. Prioritering, jourinformation och styrning av ärenden avgörs av regler som går att läsa och testa. Villkor för framtida införande i docs/rutiner/ai-styrning.md.</t>
        </is>
      </c>
    </row>
    <row r="96" ht="28.8" customHeight="1">
      <c r="B96" s="62" t="inlineStr">
        <is>
          <t>C.10.2</t>
        </is>
      </c>
      <c r="C96" s="87" t="inlineStr">
        <is>
          <t>Information från beställaren, hyresgäster eller andra användare får inte användas för träning eller generell utveckling av AI-modeller utan beställarens skriftliga godkännande.</t>
        </is>
      </c>
      <c r="D96" s="51" t="inlineStr">
        <is>
          <t>Ska</t>
        </is>
      </c>
      <c r="E96" s="52" t="inlineStr">
        <is>
          <t>Ja</t>
        </is>
      </c>
      <c r="F96" s="63" t="inlineStr">
        <is>
          <t>Leverantörsrutin. Beställarens information används inte för att träna eller utveckla AI-modeller. Villkoret gäller även framtida modelleverantörer och kräver skriftligt godkännande.</t>
        </is>
      </c>
    </row>
  </sheetData>
  <sheetProtection selectLockedCells="0" selectUnlockedCells="0" algorithmName="SHA-512" sheet="1" objects="1" insertRows="1" insertHyperlinks="1" autoFilter="1" scenarios="1" formatColumns="1" deleteColumns="1" insertColumns="1" pivotTables="1" deleteRows="1" formatCells="1" saltValue="bmxfMCa+CyJBk1P88rrtBg==" formatRows="1" sort="1" spinCount="100000" hashValue="dsnJiUiKN+N1xChlGAWH0ujknklFl6beJ2iX2Ek4FeVf/RuHXnK9jCfBXaH7uBf5b8sijDeTeE5rCQCLWN4Fgg=="/>
  <conditionalFormatting sqref="D16:D28 D30:D42 D44:D57 D59:D62 D71:D76 D84:D88 D90:D93">
    <cfRule type="cellIs" priority="78" operator="equal" dxfId="16">
      <formula>"Bör"</formula>
    </cfRule>
  </conditionalFormatting>
  <conditionalFormatting sqref="D64:D69">
    <cfRule type="cellIs" priority="53" operator="equal" dxfId="16">
      <formula>"Bör"</formula>
    </cfRule>
  </conditionalFormatting>
  <conditionalFormatting sqref="D78:D82">
    <cfRule type="cellIs" priority="36" operator="equal" dxfId="16">
      <formula>"Bör"</formula>
    </cfRule>
  </conditionalFormatting>
  <conditionalFormatting sqref="D95:D96">
    <cfRule type="cellIs" priority="4" operator="equal" dxfId="16">
      <formula>"Bör"</formula>
    </cfRule>
  </conditionalFormatting>
  <conditionalFormatting sqref="E15">
    <cfRule type="cellIs" priority="81" operator="equal" dxfId="1">
      <formula>"Obesvarad"</formula>
    </cfRule>
  </conditionalFormatting>
  <conditionalFormatting sqref="E15:E96">
    <cfRule type="cellIs" priority="1" operator="equal" dxfId="14">
      <formula>"Nej"</formula>
    </cfRule>
    <cfRule type="cellIs" priority="2" operator="equal" dxfId="13">
      <formula>"Ja"</formula>
    </cfRule>
  </conditionalFormatting>
  <conditionalFormatting sqref="E16:E28 E30:E42 E44:E57 E59:E62 E71:E76 E84:E88 E90:E93">
    <cfRule type="cellIs" priority="74" operator="equal" dxfId="0">
      <formula>"Obesvarad"</formula>
    </cfRule>
  </conditionalFormatting>
  <conditionalFormatting sqref="E29">
    <cfRule type="cellIs" priority="68" operator="equal" dxfId="1">
      <formula>"Obesvarad"</formula>
    </cfRule>
  </conditionalFormatting>
  <conditionalFormatting sqref="E43">
    <cfRule type="cellIs" priority="71" operator="equal" dxfId="1">
      <formula>"Obesvarad"</formula>
    </cfRule>
  </conditionalFormatting>
  <conditionalFormatting sqref="E58">
    <cfRule type="cellIs" priority="63" operator="equal" dxfId="1">
      <formula>"Obesvarad"</formula>
    </cfRule>
  </conditionalFormatting>
  <conditionalFormatting sqref="E63">
    <cfRule type="cellIs" priority="56" operator="equal" dxfId="1">
      <formula>"Obesvarad"</formula>
    </cfRule>
  </conditionalFormatting>
  <conditionalFormatting sqref="E64:E69">
    <cfRule type="cellIs" priority="52" operator="equal" dxfId="0">
      <formula>"Obesvarad"</formula>
    </cfRule>
  </conditionalFormatting>
  <conditionalFormatting sqref="E70">
    <cfRule type="cellIs" priority="49" operator="equal" dxfId="1">
      <formula>"Obesvarad"</formula>
    </cfRule>
  </conditionalFormatting>
  <conditionalFormatting sqref="E77">
    <cfRule type="cellIs" priority="42" operator="equal" dxfId="1">
      <formula>"Obesvarad"</formula>
    </cfRule>
  </conditionalFormatting>
  <conditionalFormatting sqref="E78:E82">
    <cfRule type="cellIs" priority="35" operator="equal" dxfId="0">
      <formula>"Obesvarad"</formula>
    </cfRule>
  </conditionalFormatting>
  <conditionalFormatting sqref="E83">
    <cfRule type="cellIs" priority="39" operator="equal" dxfId="1">
      <formula>"Obesvarad"</formula>
    </cfRule>
  </conditionalFormatting>
  <conditionalFormatting sqref="E89">
    <cfRule type="cellIs" priority="14" operator="equal" dxfId="1">
      <formula>"Obesvarad"</formula>
    </cfRule>
  </conditionalFormatting>
  <conditionalFormatting sqref="E94">
    <cfRule type="cellIs" priority="7" operator="equal" dxfId="1">
      <formula>"Obesvarad"</formula>
    </cfRule>
  </conditionalFormatting>
  <conditionalFormatting sqref="E95:E96">
    <cfRule type="cellIs" priority="3" operator="equal" dxfId="0">
      <formula>"Obesvarad"</formula>
    </cfRule>
  </conditionalFormatting>
  <dataValidations count="2">
    <dataValidation sqref="D16:D28 D30:D42 D44:D57 D59:D62 D64:D69 D71:D76 D78:D82 D84:D88 D90:D93 D95:D96" showDropDown="0" showInputMessage="1" showErrorMessage="1" allowBlank="1" type="list">
      <formula1>"Ska,Bör"</formula1>
    </dataValidation>
    <dataValidation sqref="E16:E28 E30:E42 E44:E57 E59:E62 E64:E69 E71:E76 E78:E82 E84:E88 E90:E93 E95:E96" showDropDown="0" showInputMessage="1" showErrorMessage="1" allowBlank="1" type="list">
      <formula1>"Obesvarad,Ja,Nej"</formula1>
    </dataValidation>
  </dataValidations>
  <pageMargins left="0.7" right="0.7" top="0.75" bottom="0.75" header="0.3" footer="0.3"/>
  <pageSetup orientation="portrait"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Allard Marcus</dc:creator>
  <dcterms:created xsi:type="dcterms:W3CDTF">2015-06-05T18:19:34Z</dcterms:created>
  <dcterms:modified xsi:type="dcterms:W3CDTF">2026-09-07T13:32:34Z</dcterms:modified>
  <cp:lastModifiedBy>Allard Marcus</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0x01010001BCDBB3019206418E07DF96435D98B8</vt:lpwstr>
  </property>
  <property name="MediaServiceImageTags" fmtid="{D5CDD505-2E9C-101B-9397-08002B2CF9AE}" pid="3">
    <vt:lpwstr/>
  </property>
</Properties>
</file>